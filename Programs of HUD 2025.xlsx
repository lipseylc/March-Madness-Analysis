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6" autoFilterDateGrouping="1"/>
  </bookViews>
  <sheets>
    <sheet xmlns:r="http://schemas.openxmlformats.org/officeDocument/2006/relationships" name="Programs of HUD" sheetId="1" state="visible" r:id="rId1"/>
    <sheet xmlns:r="http://schemas.openxmlformats.org/officeDocument/2006/relationships" name="About" sheetId="2" state="visible" r:id="rId2"/>
    <sheet xmlns:r="http://schemas.openxmlformats.org/officeDocument/2006/relationships" name="FPI (HUD)" sheetId="3" state="visible" r:id="rId3"/>
    <sheet xmlns:r="http://schemas.openxmlformats.org/officeDocument/2006/relationships" name="Matched Programs" sheetId="4" state="visible" r:id="rId4"/>
    <sheet xmlns:r="http://schemas.openxmlformats.org/officeDocument/2006/relationships" name="VA Treatment Summary" sheetId="5" state="visible" r:id="rId5"/>
    <sheet xmlns:r="http://schemas.openxmlformats.org/officeDocument/2006/relationships" name="Scope Determinations" sheetId="6" state="visible" r:id="rId6"/>
    <sheet xmlns:r="http://schemas.openxmlformats.org/officeDocument/2006/relationships" name="Income Standards" sheetId="7" state="visible" r:id="rId7"/>
    <sheet xmlns:r="http://schemas.openxmlformats.org/officeDocument/2006/relationships" name="Lists" sheetId="8" state="hidden" r:id="rId8"/>
  </sheets>
  <definedNames>
    <definedName name="_xlnm._FilterDatabase" localSheetId="0" hidden="1">'Programs of HUD'!$A$1:$G$103</definedName>
    <definedName name="_xlnm._FilterDatabase" localSheetId="2" hidden="1">'FPI (HUD)'!$A$1:$M$101</definedName>
    <definedName name="_xlnm._FilterDatabase" localSheetId="3" hidden="1">'Matched Programs'!$A$1:$AD$145</definedName>
    <definedName name="_xlnm._FilterDatabase" localSheetId="5" hidden="1">'Scope Determinations'!$A$1:$D$126</definedName>
    <definedName name="_xlnm.Print_Titles" localSheetId="6">'Income Standards'!$1:$1</definedName>
  </definedNames>
  <calcPr calcId="191029" fullCalcOnLoad="1" iterateDelta="0.0001"/>
</workbook>
</file>

<file path=xl/styles.xml><?xml version="1.0" encoding="utf-8"?>
<styleSheet xmlns="http://schemas.openxmlformats.org/spreadsheetml/2006/main">
  <numFmts count="1">
    <numFmt numFmtId="164" formatCode="\$#,##0;[Red]&quot;$(&quot;#,##0\);\-"/>
  </numFmts>
  <fonts count="19">
    <font>
      <name val="Calibri"/>
      <charset val="1"/>
      <family val="2"/>
      <color theme="1"/>
      <sz val="11"/>
    </font>
    <font>
      <name val="Calibri"/>
      <charset val="1"/>
      <b val="1"/>
      <color rgb="FFFFFFFF"/>
      <sz val="11"/>
    </font>
    <font>
      <name val="Calibri"/>
      <charset val="1"/>
      <sz val="11"/>
    </font>
    <font>
      <name val="Calibri"/>
      <charset val="1"/>
      <color rgb="FF0563C1"/>
      <sz val="11"/>
      <u val="single"/>
    </font>
    <font>
      <name val="Calibri"/>
      <charset val="1"/>
      <b val="1"/>
      <sz val="14"/>
    </font>
    <font>
      <name val="Cambria"/>
      <charset val="1"/>
      <b val="1"/>
      <sz val="11"/>
    </font>
    <font>
      <name val="Calibri"/>
      <charset val="1"/>
      <b val="1"/>
      <color rgb="FFFFFFFF"/>
      <sz val="12"/>
    </font>
    <font>
      <name val="Calibri"/>
      <charset val="1"/>
      <b val="1"/>
      <color rgb="FF1F3864"/>
      <sz val="14"/>
    </font>
    <font>
      <name val="Calibri"/>
      <charset val="1"/>
      <i val="1"/>
      <color rgb="FF595959"/>
      <sz val="11"/>
    </font>
    <font>
      <name val="Calibri"/>
      <charset val="1"/>
      <b val="1"/>
      <color rgb="FF385723"/>
      <sz val="12"/>
    </font>
    <font>
      <name val="Calibri"/>
      <charset val="1"/>
      <b val="1"/>
      <sz val="11"/>
    </font>
    <font>
      <name val="Calibri"/>
      <charset val="1"/>
      <b val="1"/>
      <i val="1"/>
      <sz val="11"/>
    </font>
    <font>
      <name val="Cambria"/>
      <charset val="1"/>
      <i val="1"/>
      <color rgb="FF595959"/>
      <sz val="10"/>
    </font>
    <font>
      <name val="Calibri"/>
      <charset val="1"/>
      <b val="1"/>
      <sz val="10"/>
    </font>
    <font>
      <name val="Calibri"/>
      <charset val="1"/>
      <sz val="10"/>
    </font>
    <font>
      <name val="Calibri"/>
      <b val="1"/>
      <color rgb="00FFFFFF"/>
      <sz val="11"/>
    </font>
    <font>
      <name val="Calibri"/>
      <i val="1"/>
      <color rgb="00595959"/>
      <sz val="10"/>
    </font>
    <font>
      <name val="Calibri"/>
      <sz val="11"/>
    </font>
    <font>
      <b val="1"/>
    </font>
  </fonts>
  <fills count="14">
    <fill>
      <patternFill/>
    </fill>
    <fill>
      <patternFill patternType="gray125"/>
    </fill>
    <fill>
      <patternFill patternType="solid">
        <fgColor rgb="FF1F3864"/>
        <bgColor rgb="FF333399"/>
      </patternFill>
    </fill>
    <fill>
      <patternFill patternType="solid">
        <fgColor rgb="FFF2F2F2"/>
        <bgColor rgb="FFEDEDED"/>
      </patternFill>
    </fill>
    <fill>
      <patternFill patternType="solid">
        <fgColor rgb="FF385723"/>
        <bgColor rgb="FF595959"/>
      </patternFill>
    </fill>
    <fill>
      <patternFill patternType="solid">
        <fgColor rgb="FF2E75B6"/>
        <bgColor rgb="FF0563C1"/>
      </patternFill>
    </fill>
    <fill>
      <patternFill patternType="solid">
        <fgColor rgb="FFE7F3FF"/>
        <bgColor rgb="FFF2F2F2"/>
      </patternFill>
    </fill>
    <fill>
      <patternFill patternType="solid">
        <fgColor rgb="FFFFF4E5"/>
        <bgColor rgb="FFFFF2CC"/>
      </patternFill>
    </fill>
    <fill>
      <patternFill patternType="solid">
        <fgColor rgb="FFE2EFDA"/>
        <bgColor rgb="FFEDEDED"/>
      </patternFill>
    </fill>
    <fill>
      <patternFill patternType="solid">
        <fgColor rgb="FFD9E1F2"/>
        <bgColor rgb="FFD9D9D9"/>
      </patternFill>
    </fill>
    <fill>
      <patternFill patternType="solid">
        <fgColor rgb="001F3864"/>
      </patternFill>
    </fill>
    <fill>
      <patternFill patternType="solid">
        <fgColor rgb="002E75B6"/>
      </patternFill>
    </fill>
    <fill>
      <patternFill patternType="solid">
        <fgColor rgb="00F2F2F2"/>
      </patternFill>
    </fill>
    <fill>
      <patternFill patternType="solid">
        <fgColor rgb="00FBF7EE"/>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top/>
      <bottom style="thin">
        <color rgb="FFD9D9D9"/>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bottom style="thin">
        <color rgb="00D9D9D9"/>
      </bottom>
    </border>
  </borders>
  <cellStyleXfs count="1">
    <xf numFmtId="0" fontId="0" fillId="0" borderId="0"/>
  </cellStyleXfs>
  <cellXfs count="62">
    <xf numFmtId="0" fontId="0" fillId="0" borderId="0" pivotButton="0" quotePrefix="0" xfId="0"/>
    <xf numFmtId="0" fontId="0" fillId="0" borderId="1" pivotButton="0" quotePrefix="0" xfId="0"/>
    <xf numFmtId="0" fontId="1" fillId="4" borderId="1" pivotButton="0" quotePrefix="0" xfId="0"/>
    <xf numFmtId="0" fontId="8" fillId="0" borderId="0" applyAlignment="1" pivotButton="0" quotePrefix="0" xfId="0">
      <alignment vertical="top" wrapText="1"/>
    </xf>
    <xf numFmtId="0" fontId="6" fillId="5" borderId="0" applyAlignment="1" pivotButton="0" quotePrefix="0" xfId="0">
      <alignment horizontal="left" vertical="center"/>
    </xf>
    <xf numFmtId="0" fontId="12" fillId="0" borderId="0" applyAlignment="1" pivotButton="0" quotePrefix="0" xfId="0">
      <alignment vertical="center"/>
    </xf>
    <xf numFmtId="0" fontId="1" fillId="2" borderId="0" applyAlignment="1" pivotButton="0" quotePrefix="0" xfId="0">
      <alignment horizontal="left"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4" fillId="0" borderId="0" pivotButton="0" quotePrefix="0" xfId="0"/>
    <xf numFmtId="0" fontId="2" fillId="0" borderId="0" applyAlignment="1" pivotButton="0" quotePrefix="0" xfId="0">
      <alignment vertical="top" wrapText="1"/>
    </xf>
    <xf numFmtId="0" fontId="5" fillId="0" borderId="0" pivotButton="0" quotePrefix="0" xfId="0"/>
    <xf numFmtId="164" fontId="2" fillId="0" borderId="1" applyAlignment="1" pivotButton="0" quotePrefix="0" xfId="0">
      <alignment horizontal="right" vertical="top"/>
    </xf>
    <xf numFmtId="0" fontId="1" fillId="4" borderId="0" applyAlignment="1" pivotButton="0" quotePrefix="0" xfId="0">
      <alignment horizontal="left" vertical="center" wrapText="1"/>
    </xf>
    <xf numFmtId="0" fontId="2" fillId="6" borderId="1" applyAlignment="1" pivotButton="0" quotePrefix="0" xfId="0">
      <alignment horizontal="center" vertical="top"/>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3" fillId="6" borderId="1" applyAlignment="1" pivotButton="0" quotePrefix="0" xfId="0">
      <alignment horizontal="left" vertical="top" wrapText="1"/>
    </xf>
    <xf numFmtId="164" fontId="2" fillId="7" borderId="1" applyAlignment="1" pivotButton="0" quotePrefix="0" xfId="0">
      <alignment horizontal="right" vertical="top"/>
    </xf>
    <xf numFmtId="0" fontId="2" fillId="8" borderId="1" applyAlignment="1" pivotButton="0" quotePrefix="0" xfId="0">
      <alignment vertical="top" wrapText="1"/>
    </xf>
    <xf numFmtId="0" fontId="7" fillId="0" borderId="0" pivotButton="0" quotePrefix="0" xfId="0"/>
    <xf numFmtId="0" fontId="9" fillId="0" borderId="0" pivotButton="0" quotePrefix="0" xfId="0"/>
    <xf numFmtId="0" fontId="1" fillId="4" borderId="1" applyAlignment="1" pivotButton="0" quotePrefix="0" xfId="0">
      <alignment horizontal="left" vertical="center" wrapText="1"/>
    </xf>
    <xf numFmtId="0" fontId="1" fillId="4"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xf>
    <xf numFmtId="0" fontId="10" fillId="0" borderId="1" applyAlignment="1" pivotButton="0" quotePrefix="0" xfId="0">
      <alignment horizontal="center"/>
    </xf>
    <xf numFmtId="0" fontId="10" fillId="0" borderId="1" pivotButton="0" quotePrefix="0" xfId="0"/>
    <xf numFmtId="0" fontId="1" fillId="4" borderId="1" pivotButton="0" quotePrefix="0" xfId="0"/>
    <xf numFmtId="0" fontId="1" fillId="4" borderId="1" applyAlignment="1" pivotButton="0" quotePrefix="0" xfId="0">
      <alignment vertical="center" wrapText="1"/>
    </xf>
    <xf numFmtId="0" fontId="10" fillId="9" borderId="0" pivotButton="0" quotePrefix="0" xfId="0"/>
    <xf numFmtId="0" fontId="0" fillId="9" borderId="0" pivotButton="0" quotePrefix="0" xfId="0"/>
    <xf numFmtId="0" fontId="11" fillId="3" borderId="0" pivotButton="0" quotePrefix="0" xfId="0"/>
    <xf numFmtId="0" fontId="0" fillId="3" borderId="0" pivotButton="0" quotePrefix="0" xfId="0"/>
    <xf numFmtId="0" fontId="0" fillId="0" borderId="1" applyAlignment="1" pivotButton="0" quotePrefix="0" xfId="0">
      <alignment vertical="top" wrapText="1"/>
    </xf>
    <xf numFmtId="0" fontId="3" fillId="0" borderId="1" applyAlignment="1" pivotButton="0" quotePrefix="0" xfId="0">
      <alignment vertical="top" wrapText="1"/>
    </xf>
    <xf numFmtId="0" fontId="1" fillId="2" borderId="0" applyAlignment="1" pivotButton="0" quotePrefix="0" xfId="0">
      <alignment horizontal="center" vertical="center" wrapText="1"/>
    </xf>
    <xf numFmtId="0" fontId="1" fillId="5" borderId="0" applyAlignment="1" pivotButton="0" quotePrefix="0" xfId="0">
      <alignment vertical="center"/>
    </xf>
    <xf numFmtId="0" fontId="0" fillId="5" borderId="0" pivotButton="0" quotePrefix="0" xfId="0"/>
    <xf numFmtId="0" fontId="2" fillId="0" borderId="2" applyAlignment="1" pivotButton="0" quotePrefix="0" xfId="0">
      <alignment vertical="top" wrapText="1"/>
    </xf>
    <xf numFmtId="0" fontId="2" fillId="0" borderId="2" applyAlignment="1" pivotButton="0" quotePrefix="0" xfId="0">
      <alignment horizontal="center" vertical="top"/>
    </xf>
    <xf numFmtId="0" fontId="13" fillId="0" borderId="2" applyAlignment="1" pivotButton="0" quotePrefix="0" xfId="0">
      <alignment vertical="top" wrapText="1"/>
    </xf>
    <xf numFmtId="0" fontId="14" fillId="0" borderId="2" applyAlignment="1" pivotButton="0" quotePrefix="0" xfId="0">
      <alignment vertical="top" wrapText="1"/>
    </xf>
    <xf numFmtId="0" fontId="14" fillId="0" borderId="2" applyAlignment="1" pivotButton="0" quotePrefix="0" xfId="0">
      <alignment horizontal="center" vertical="top"/>
    </xf>
    <xf numFmtId="0" fontId="13" fillId="0" borderId="0" pivotButton="0" quotePrefix="0" xfId="0"/>
    <xf numFmtId="0" fontId="14" fillId="0" borderId="0" pivotButton="0" quotePrefix="0" xfId="0"/>
    <xf numFmtId="0" fontId="14" fillId="0" borderId="0" applyAlignment="1" pivotButton="0" quotePrefix="0" xfId="0">
      <alignment horizontal="center"/>
    </xf>
    <xf numFmtId="0" fontId="13" fillId="0" borderId="0" applyAlignment="1" pivotButton="0" quotePrefix="0" xfId="0">
      <alignment horizontal="center"/>
    </xf>
    <xf numFmtId="0" fontId="18" fillId="0" borderId="0" pivotButton="0" quotePrefix="0" xfId="0"/>
    <xf numFmtId="0" fontId="0" fillId="0" borderId="5" pivotButton="0" quotePrefix="0" xfId="0"/>
    <xf numFmtId="0" fontId="0" fillId="0" borderId="6" pivotButton="0" quotePrefix="0" xfId="0"/>
    <xf numFmtId="0" fontId="15" fillId="10" borderId="0" applyAlignment="1" pivotButton="0" quotePrefix="0" xfId="0">
      <alignment horizontal="center" vertical="center" wrapText="1"/>
    </xf>
    <xf numFmtId="0" fontId="16" fillId="0" borderId="0" applyAlignment="1" pivotButton="0" quotePrefix="0" xfId="0">
      <alignment vertical="top" wrapText="1"/>
    </xf>
    <xf numFmtId="0" fontId="15" fillId="11" borderId="0" applyAlignment="1" pivotButton="0" quotePrefix="0" xfId="0">
      <alignment vertical="center"/>
    </xf>
    <xf numFmtId="0" fontId="17" fillId="12" borderId="0" applyAlignment="1" pivotButton="0" quotePrefix="0" xfId="0">
      <alignment vertical="top" wrapText="1"/>
    </xf>
    <xf numFmtId="0" fontId="17" fillId="0" borderId="7" applyAlignment="1" pivotButton="0" quotePrefix="0" xfId="0">
      <alignment vertical="top" wrapText="1"/>
    </xf>
    <xf numFmtId="0" fontId="17" fillId="0" borderId="7" applyAlignment="1" pivotButton="0" quotePrefix="0" xfId="0">
      <alignment horizontal="center" vertical="top"/>
    </xf>
    <xf numFmtId="0" fontId="17" fillId="13" borderId="7" applyAlignment="1" pivotButton="0" quotePrefix="0" xfId="0">
      <alignment vertical="top" wrapText="1"/>
    </xf>
  </cellXfs>
  <cellStyles count="1">
    <cellStyle name="Normal" xfId="0" builtinId="0"/>
  </cellStyles>
  <dxfs count="7">
    <dxf>
      <fill>
        <patternFill>
          <bgColor rgb="FFFFF2CC"/>
        </patternFill>
      </fill>
    </dxf>
    <dxf>
      <fill>
        <patternFill>
          <bgColor rgb="FFEDEDED"/>
        </patternFill>
      </fill>
    </dxf>
    <dxf>
      <fill>
        <patternFill>
          <bgColor rgb="FFE2EFDA"/>
        </patternFill>
      </fill>
    </dxf>
    <dxf>
      <font>
        <b val="1"/>
        <color rgb="FF9C0006"/>
      </font>
      <fill>
        <patternFill>
          <bgColor rgb="FFF4B6B6"/>
        </patternFill>
      </fill>
    </dxf>
    <dxf>
      <fill>
        <patternFill patternType="solid">
          <fgColor rgb="00E2EFDA"/>
          <bgColor rgb="00E2EFDA"/>
        </patternFill>
      </fill>
    </dxf>
    <dxf>
      <fill>
        <patternFill patternType="solid">
          <fgColor rgb="00FFF2CC"/>
          <bgColor rgb="00FFF2CC"/>
        </patternFill>
      </fill>
    </dxf>
    <dxf>
      <font>
        <b val="1"/>
        <color rgb="009C0006"/>
      </font>
      <fill>
        <patternFill patternType="solid">
          <fgColor rgb="00F4B6B6"/>
          <bgColor rgb="00F4B6B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E7F3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2F2F2"/>
      <rgbColor rgb="FFE2EFDA"/>
      <rgbColor rgb="FFFFF4E5"/>
      <rgbColor rgb="FFD9E1F2"/>
      <rgbColor rgb="FFEDEDED"/>
      <rgbColor rgb="FFCC99FF"/>
      <rgbColor rgb="FFF4B6B6"/>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857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ud.gov/vawa" TargetMode="External" Id="rId1"/><Relationship Type="http://schemas.openxmlformats.org/officeDocument/2006/relationships/hyperlink" Target="https://disposal.gsa.gov/s/" TargetMode="External" Id="rId2"/><Relationship Type="http://schemas.openxmlformats.org/officeDocument/2006/relationships/hyperlink" Target="https://www.hud.gov/program_offices/comm_planning/section-4" TargetMode="External" Id="rId3"/><Relationship Type="http://schemas.openxmlformats.org/officeDocument/2006/relationships/hyperlink" Target="https://www.hud.gov/program_offices/comm_planning/cdbg-dr" TargetMode="External" Id="rId4"/><Relationship Type="http://schemas.openxmlformats.org/officeDocument/2006/relationships/hyperlink" Target="https://www.hud.gov/program_offices/comm_planning/cdbg" TargetMode="External" Id="rId5"/><Relationship Type="http://schemas.openxmlformats.org/officeDocument/2006/relationships/hyperlink" Target="https://www.hud.gov/program_offices/comm_planning/cdbg" TargetMode="External" Id="rId6"/><Relationship Type="http://schemas.openxmlformats.org/officeDocument/2006/relationships/hyperlink" Target="https://www.hud.gov/program_offices/comm_planning/cdbg" TargetMode="External" Id="rId7"/><Relationship Type="http://schemas.openxmlformats.org/officeDocument/2006/relationships/hyperlink" Target="https://www.hud.gov/program_offices/comm_planning/section108" TargetMode="External" Id="rId8"/><Relationship Type="http://schemas.openxmlformats.org/officeDocument/2006/relationships/hyperlink" Target="https://www.hud.gov/program_offices/comm_planning/coc" TargetMode="External" Id="rId9"/><Relationship Type="http://schemas.openxmlformats.org/officeDocument/2006/relationships/hyperlink" Target="https://www.hud.gov/program_offices/comm_planning/esg" TargetMode="External" Id="rId10"/><Relationship Type="http://schemas.openxmlformats.org/officeDocument/2006/relationships/hyperlink" Target="https://www.hud.gov/program_offices/comm_planning/titlev" TargetMode="External" Id="rId11"/><Relationship Type="http://schemas.openxmlformats.org/officeDocument/2006/relationships/hyperlink" Target="https://www.hud.gov/program_offices/comm_planning/home" TargetMode="External" Id="rId12"/><Relationship Type="http://schemas.openxmlformats.org/officeDocument/2006/relationships/hyperlink" Target="https://www.hud.gov/program_offices/comm_planning/hopwa" TargetMode="External" Id="rId13"/><Relationship Type="http://schemas.openxmlformats.org/officeDocument/2006/relationships/hyperlink" Target="https://www.hud.gov/program_offices/comm_planning/htf" TargetMode="External" Id="rId14"/><Relationship Type="http://schemas.openxmlformats.org/officeDocument/2006/relationships/hyperlink" Target="https://www.hudexchange.info/programs/rural-capacity-building/" TargetMode="External" Id="rId15"/><Relationship Type="http://schemas.openxmlformats.org/officeDocument/2006/relationships/hyperlink" Target="https://www.hud.gov/program_offices/comm_planning/shop" TargetMode="External" Id="rId16"/><Relationship Type="http://schemas.openxmlformats.org/officeDocument/2006/relationships/hyperlink" Target="https://www.hud.gov/program_offices/housing/sfh/eem/energy-r" TargetMode="External" Id="rId17"/><Relationship Type="http://schemas.openxmlformats.org/officeDocument/2006/relationships/hyperlink" Target="https://www.hud.gov/program_offices/housing/sfh/reo/goodn/gnndabot" TargetMode="External" Id="rId18"/><Relationship Type="http://schemas.openxmlformats.org/officeDocument/2006/relationships/hyperlink" Target="https://www.hud.gov/program_offices/housing/sfh/hecm/hecmabou" TargetMode="External" Id="rId19"/><Relationship Type="http://schemas.openxmlformats.org/officeDocument/2006/relationships/hyperlink" Target="https://www.hud.gov/program_offices/housing/sfh/ins/251--df" TargetMode="External" Id="rId20"/><Relationship Type="http://schemas.openxmlformats.org/officeDocument/2006/relationships/hyperlink" Target="https://www.hud.gov/program_offices/housing/sfh/ins/sfh_hawaiian_home_lands" TargetMode="External" Id="rId21"/><Relationship Type="http://schemas.openxmlformats.org/officeDocument/2006/relationships/hyperlink" Target="https://www.hud.gov/program_offices/housing/sfh/nsc/lossmit" TargetMode="External" Id="rId22"/><Relationship Type="http://schemas.openxmlformats.org/officeDocument/2006/relationships/hyperlink" Target="https://www.hud.gov/program_offices/housing/sfh/title/manuf14" TargetMode="External" Id="rId23"/><Relationship Type="http://schemas.openxmlformats.org/officeDocument/2006/relationships/hyperlink" Target="https://www.hud.gov/program_offices/housing/sfh/ins/203h-dft" TargetMode="External" Id="rId24"/><Relationship Type="http://schemas.openxmlformats.org/officeDocument/2006/relationships/hyperlink" Target="https://www.hud.gov/program_offices/housing/sfh/ins/203b--df" TargetMode="External" Id="rId25"/><Relationship Type="http://schemas.openxmlformats.org/officeDocument/2006/relationships/hyperlink" Target="https://www.hud.gov/program_offices/housing/sfh/ins/sfh248" TargetMode="External" Id="rId26"/><Relationship Type="http://schemas.openxmlformats.org/officeDocument/2006/relationships/hyperlink" Target="https://www.hud.gov/program_offices/housing/sfh/title" TargetMode="External" Id="rId27"/><Relationship Type="http://schemas.openxmlformats.org/officeDocument/2006/relationships/hyperlink" Target="https://www.hud.gov/program_offices/housing/sfh/203k/203k--df" TargetMode="External" Id="rId28"/><Relationship Type="http://schemas.openxmlformats.org/officeDocument/2006/relationships/hyperlink" Target="http://www.hudhomestore.gov/Home/Index.aspx" TargetMode="External" Id="rId29"/><Relationship Type="http://schemas.openxmlformats.org/officeDocument/2006/relationships/hyperlink" Target="https://www.hud.gov/program_offices/housing/comp/asset/hsgloan" TargetMode="External" Id="rId30"/><Relationship Type="http://schemas.openxmlformats.org/officeDocument/2006/relationships/hyperlink" Target="https://www.hud.gov/program_offices/housing/mhs/csp" TargetMode="External" Id="rId31"/><Relationship Type="http://schemas.openxmlformats.org/officeDocument/2006/relationships/hyperlink" Target="https://www.hud.gov/program_offices/housing/mfh/presrv/presmfh/aboutm2m" TargetMode="External" Id="rId32"/><Relationship Type="http://schemas.openxmlformats.org/officeDocument/2006/relationships/hyperlink" Target="https://www.hud.gov/program_offices/housing/mfh/progdesc/progsec213" TargetMode="External" Id="rId33"/><Relationship Type="http://schemas.openxmlformats.org/officeDocument/2006/relationships/hyperlink" Target="https://www.hud.gov/program_offices/housing/mfh/progdesc/purchrefi223f" TargetMode="External" Id="rId34"/><Relationship Type="http://schemas.openxmlformats.org/officeDocument/2006/relationships/hyperlink" Target="https://www.hud.gov/program_offices/housing/mfh/progdesc/progsec231" TargetMode="External" Id="rId35"/><Relationship Type="http://schemas.openxmlformats.org/officeDocument/2006/relationships/hyperlink" Target="https://www.hud.gov/program_offices/housing/mfh/progdesc/progsec220" TargetMode="External" Id="rId36"/><Relationship Type="http://schemas.openxmlformats.org/officeDocument/2006/relationships/hyperlink" Target="https://www.hud.gov/program_offices/housing/mfh/progdesc/progsec241a" TargetMode="External" Id="rId37"/><Relationship Type="http://schemas.openxmlformats.org/officeDocument/2006/relationships/hyperlink" Target="https://www.hud.gov/program_offices/housing/mfh/scp/scphome" TargetMode="External" Id="rId38"/><Relationship Type="http://schemas.openxmlformats.org/officeDocument/2006/relationships/hyperlink" Target="https://www.hud.gov/program_offices/housing/mfh/progdesc/rentcoophsg221d3n4" TargetMode="External" Id="rId39"/><Relationship Type="http://schemas.openxmlformats.org/officeDocument/2006/relationships/hyperlink" Target="https://www.hud.gov/program_offices/housing/mfh/mfhsec8" TargetMode="External" Id="rId40"/><Relationship Type="http://schemas.openxmlformats.org/officeDocument/2006/relationships/hyperlink" Target="https://www.hud.gov/program_offices/housing/mfh/progdesc/eld202" TargetMode="External" Id="rId41"/><Relationship Type="http://schemas.openxmlformats.org/officeDocument/2006/relationships/hyperlink" Target="https://www.hud.gov/program_offices/housing/mfh/progdesc/disab811" TargetMode="External" Id="rId42"/><Relationship Type="http://schemas.openxmlformats.org/officeDocument/2006/relationships/hyperlink" Target="https://www.hud.gov/federal_housing_administration/healthcare_facilities/section_242" TargetMode="External" Id="rId43"/><Relationship Type="http://schemas.openxmlformats.org/officeDocument/2006/relationships/hyperlink" Target="https://www.hud.gov/federal_housing_administration/healthcare_facilities/residential_care" TargetMode="External" Id="rId44"/><Relationship Type="http://schemas.openxmlformats.org/officeDocument/2006/relationships/hyperlink" Target="https://www.hudexchange.info/programs/housingcounseling/program-description/" TargetMode="External" Id="rId45"/><Relationship Type="http://schemas.openxmlformats.org/officeDocument/2006/relationships/hyperlink" Target="https://www.hud.gov/program_offices/public_indian_housing/bre" TargetMode="External" Id="rId46"/><Relationship Type="http://schemas.openxmlformats.org/officeDocument/2006/relationships/hyperlink" Target="https://www.hud.gov/cn" TargetMode="External" Id="rId47"/><Relationship Type="http://schemas.openxmlformats.org/officeDocument/2006/relationships/hyperlink" Target="https://www.hud.gov/program_offices/public_indian_housing/programs/hcv/fss" TargetMode="External" Id="rId48"/><Relationship Type="http://schemas.openxmlformats.org/officeDocument/2006/relationships/hyperlink" Target="https://www.hud.gov/program_offices/public_indian_housing/programs/hcv/about/" TargetMode="External" Id="rId49"/><Relationship Type="http://schemas.openxmlformats.org/officeDocument/2006/relationships/hyperlink" Target="https://www.hud.gov/program_offices/public_indian_housing/jpi" TargetMode="External" Id="rId50"/><Relationship Type="http://schemas.openxmlformats.org/officeDocument/2006/relationships/hyperlink" Target="https://www.hud.gov/program_offices/public_indian_housing/programs/ph/mtw" TargetMode="External" Id="rId51"/><Relationship Type="http://schemas.openxmlformats.org/officeDocument/2006/relationships/hyperlink" Target="https://www.hud.gov/program_offices/public_indian_housing/programs/hcv/project" TargetMode="External" Id="rId52"/><Relationship Type="http://schemas.openxmlformats.org/officeDocument/2006/relationships/hyperlink" Target="https://www.hud.gov/program_offices/public_indian_housing/programs/ph/capfund" TargetMode="External" Id="rId53"/><Relationship Type="http://schemas.openxmlformats.org/officeDocument/2006/relationships/hyperlink" Target="https://www.hud.gov/program_offices/public_indian_housing/centers/sac/homeownership/" TargetMode="External" Id="rId54"/><Relationship Type="http://schemas.openxmlformats.org/officeDocument/2006/relationships/hyperlink" Target="https://www.hud.gov/program_offices/public_indian_housing/programs/ph/am" TargetMode="External" Id="rId55"/><Relationship Type="http://schemas.openxmlformats.org/officeDocument/2006/relationships/hyperlink" Target="https://www.hud.gov/program_offices/public_indian_housing/programs/ph/ross/about" TargetMode="External" Id="rId56"/><Relationship Type="http://schemas.openxmlformats.org/officeDocument/2006/relationships/hyperlink" Target="https://www.hud.gov/program_offices/public_indian_housing/ih/grants/icdbg" TargetMode="External" Id="rId57"/><Relationship Type="http://schemas.openxmlformats.org/officeDocument/2006/relationships/hyperlink" Target="https://www.hud.gov/program_offices/public_indian_housing/ih/grants/ihbg" TargetMode="External" Id="rId58"/><Relationship Type="http://schemas.openxmlformats.org/officeDocument/2006/relationships/hyperlink" Target="https://www.hud.gov/program_offices/public_indian_housing/ih/homeownership/184" TargetMode="External" Id="rId59"/><Relationship Type="http://schemas.openxmlformats.org/officeDocument/2006/relationships/hyperlink" Target="https://www.hud.gov/program_offices/public_indian_housing/ih/codetalk/onap/program184a" TargetMode="External" Id="rId60"/><Relationship Type="http://schemas.openxmlformats.org/officeDocument/2006/relationships/hyperlink" Target="https://www.hud.gov/program_offices/public_indian_housing/ih/codetalk/onap/nhhbgprogram" TargetMode="External" Id="rId61"/><Relationship Type="http://schemas.openxmlformats.org/officeDocument/2006/relationships/hyperlink" Target="https://www.hud.gov/program_offices/public_indian_housing/ih/homeownership/titlevi" TargetMode="External" Id="rId62"/><Relationship Type="http://schemas.openxmlformats.org/officeDocument/2006/relationships/hyperlink" Target="https://www.hud.gov/program_offices/fair_housing_equal_opp" TargetMode="External" Id="rId63"/><Relationship Type="http://schemas.openxmlformats.org/officeDocument/2006/relationships/hyperlink" Target="https://www.hud.gov/program_offices/fair_housing_equal_opp/fair_housing_act_overview" TargetMode="External" Id="rId64"/><Relationship Type="http://schemas.openxmlformats.org/officeDocument/2006/relationships/hyperlink" Target="https://www.hud.gov/program_offices/fair_housing_equal_opp/partners/FHAP" TargetMode="External" Id="rId65"/><Relationship Type="http://schemas.openxmlformats.org/officeDocument/2006/relationships/hyperlink" Target="https://www.hud.gov/program_offices/fair_housing_equal_opp/partners/FHIP/fhip" TargetMode="External" Id="rId66"/><Relationship Type="http://schemas.openxmlformats.org/officeDocument/2006/relationships/hyperlink" Target="https://www.huduser.gov/portal/about/pdrabout.html" TargetMode="External" Id="rId67"/><Relationship Type="http://schemas.openxmlformats.org/officeDocument/2006/relationships/hyperlink" Target="https://www.huduser.gov/portal/ota/community-compass.html" TargetMode="External" Id="rId68"/><Relationship Type="http://schemas.openxmlformats.org/officeDocument/2006/relationships/hyperlink" Target="https://www.huduser.gov/portal/ota/distressed-cities-and-persistant-poverty-taprogram.html" TargetMode="External" Id="rId69"/><Relationship Type="http://schemas.openxmlformats.org/officeDocument/2006/relationships/hyperlink" Target="https://www.huduser.gov/portal/ota/thriving-communities-ta-program.html" TargetMode="External" Id="rId70"/><Relationship Type="http://schemas.openxmlformats.org/officeDocument/2006/relationships/hyperlink" Target="https://www.huduser.gov/portal/eviction-protection-grant.html" TargetMode="External" Id="rId71"/><Relationship Type="http://schemas.openxmlformats.org/officeDocument/2006/relationships/hyperlink" Target="https://www.hud.gov/program_offices/davis_bacon_and_labor_standards" TargetMode="External" Id="rId72"/><Relationship Type="http://schemas.openxmlformats.org/officeDocument/2006/relationships/hyperlink" Target="https://www.hud.gov/section3" TargetMode="External" Id="rId73"/><Relationship Type="http://schemas.openxmlformats.org/officeDocument/2006/relationships/hyperlink" Target="https://www.ginniemae.gov/about_us/what_we_do/Pages/programs_products.aspx" TargetMode="External" Id="rId74"/><Relationship Type="http://schemas.openxmlformats.org/officeDocument/2006/relationships/hyperlink" Target="https://www.ginniemae.gov/investors/multiclass_resources/Pages/multiclass-securitiesguide.aspx" TargetMode="External" Id="rId75"/><Relationship Type="http://schemas.openxmlformats.org/officeDocument/2006/relationships/hyperlink" Target="https://www.hud.gov/program_offices/healthy_homes" TargetMode="External" Id="rId76"/><Relationship Type="http://schemas.openxmlformats.org/officeDocument/2006/relationships/hyperlink" Target="https://www.hud.gov/program_offices/housing/mfh/map/maphome/taxcredit" TargetMode="External" Id="rId77"/><Relationship Type="http://schemas.openxmlformats.org/officeDocument/2006/relationships/hyperlink" Target="http://www.hud.gov/rad" TargetMode="External" Id="rId78"/><Relationship Type="http://schemas.openxmlformats.org/officeDocument/2006/relationships/hyperlink" Target="https://www.hud.gov/program_offices/public_indian_housing/ih/tribalhudvash" TargetMode="External" Id="rId79"/><Relationship Type="http://schemas.openxmlformats.org/officeDocument/2006/relationships/hyperlink" Target="https://www.hud.gov/program_offices/comm_planning/yhdp" TargetMode="External" Id="rId80"/><Relationship Type="http://schemas.openxmlformats.org/officeDocument/2006/relationships/hyperlink" Target="https://www.hud.gov/program_offices/public_indian_housing/programs/hcv/communitychoicede" TargetMode="External" Id="rId81"/><Relationship Type="http://schemas.openxmlformats.org/officeDocument/2006/relationships/hyperlink" Target="https://www.hud.gov/program_offices/comm_planning/rhp" TargetMode="External" Id="rId82"/><Relationship Type="http://schemas.openxmlformats.org/officeDocument/2006/relationships/hyperlink" Target="https://www.hud.gov/GRRP" TargetMode="External" Id="rId83"/><Relationship Type="http://schemas.openxmlformats.org/officeDocument/2006/relationships/hyperlink" Target="https://www.hud.gov/program_offices/comm_planning/price" TargetMode="External" Id="rId84"/><Relationship Type="http://schemas.openxmlformats.org/officeDocument/2006/relationships/hyperlink" Target="https://www.hud.gov/program_offices/comm_planning/pro_housing" TargetMode="External" Id="rId85"/><Relationship Type="http://schemas.openxmlformats.org/officeDocument/2006/relationships/hyperlink" Target="http://www.neighborworks.org/" TargetMode="External" Id="rId86"/><Relationship Type="http://schemas.openxmlformats.org/officeDocument/2006/relationships/hyperlink" Target="https://www.usich.gov/" TargetMode="External" Id="rId87"/></Relationships>
</file>

<file path=xl/worksheets/sheet1.xml><?xml version="1.0" encoding="utf-8"?>
<worksheet xmlns="http://schemas.openxmlformats.org/spreadsheetml/2006/main">
  <sheetPr>
    <outlinePr summaryBelow="1" summaryRight="1"/>
    <pageSetUpPr/>
  </sheetPr>
  <dimension ref="A1:G103"/>
  <sheetViews>
    <sheetView tabSelected="0" zoomScaleNormal="100" workbookViewId="0">
      <pane xSplit="2" ySplit="1" topLeftCell="C2" activePane="bottomRight" state="frozen"/>
      <selection pane="topRight" activeCell="C1" sqref="C1"/>
      <selection pane="bottomLeft" activeCell="A2" sqref="A2"/>
      <selection pane="bottomRight" activeCell="A1" sqref="A1"/>
    </sheetView>
  </sheetViews>
  <sheetFormatPr baseColWidth="8" defaultColWidth="8.6640625" defaultRowHeight="14.4"/>
  <cols>
    <col width="9" customWidth="1" min="1" max="1"/>
    <col width="38" customWidth="1" min="2" max="2"/>
    <col width="32" customWidth="1" min="3" max="3"/>
    <col width="70" customWidth="1" min="4" max="4"/>
    <col width="55" customWidth="1" min="5" max="5"/>
    <col width="45" customWidth="1" min="6" max="6"/>
    <col width="60" customWidth="1" min="7" max="7"/>
  </cols>
  <sheetData>
    <row r="1" ht="31.5" customHeight="1">
      <c r="A1" s="6" t="inlineStr">
        <is>
          <t>PDF Page</t>
        </is>
      </c>
      <c r="B1" s="6" t="inlineStr">
        <is>
          <t>Program Name</t>
        </is>
      </c>
      <c r="C1" s="6" t="inlineStr">
        <is>
          <t>Administering Office</t>
        </is>
      </c>
      <c r="D1" s="6" t="inlineStr">
        <is>
          <t>Program Summary</t>
        </is>
      </c>
      <c r="E1" s="6" t="inlineStr">
        <is>
          <t>Statutory Authority</t>
        </is>
      </c>
      <c r="F1" s="6" t="inlineStr">
        <is>
          <t>CFR Citation (Regulations)</t>
        </is>
      </c>
      <c r="G1" s="6" t="inlineStr">
        <is>
          <t>Program Website(s)</t>
        </is>
      </c>
    </row>
    <row r="2" ht="45.75" customHeight="1">
      <c r="A2" s="7" t="n">
        <v>6</v>
      </c>
      <c r="B2" s="8" t="inlineStr">
        <is>
          <t>The Violence Against Women Act (VAWA)</t>
        </is>
      </c>
      <c r="C2" s="8" t="inlineStr">
        <is>
          <t>Offices of the Secretary &amp; Deputy Secretary</t>
        </is>
      </c>
      <c r="D2" s="8" t="inlineStr">
        <is>
          <t>Provides housing protections for survivors of domestic violence, dating violence, sexual assault, and stalking in covered housing programs.</t>
        </is>
      </c>
      <c r="E2" s="8" t="inlineStr">
        <is>
          <t>Chapter 2 of Subtitle N of the Violence Against Women Act of 1994 (34 U.S.C. 12471, et seq.); (34 U.S.C. 12491-12496).</t>
        </is>
      </c>
      <c r="F2" s="8" t="inlineStr">
        <is>
          <t>Regulations are found at 24 CFR part 5, subpart L and in individual program regulations. The Violence Against Women Act Reauthorization Act of 2022 (Public Law 117-103, approved March 15, 2022).</t>
        </is>
      </c>
      <c r="G2" s="9" t="inlineStr">
        <is>
          <t>https://www.hud.gov/vawa</t>
        </is>
      </c>
    </row>
    <row r="3" ht="34.5" customHeight="1">
      <c r="A3" s="7" t="n">
        <v>7</v>
      </c>
      <c r="B3" s="8" t="inlineStr">
        <is>
          <t>Self-Help Housing Property Disposition Program</t>
        </is>
      </c>
      <c r="C3" s="8" t="inlineStr">
        <is>
          <t>Offices of the Secretary &amp; Deputy Secretary</t>
        </is>
      </c>
      <c r="D3" s="8" t="inlineStr">
        <is>
          <t>This program makes surplus Federal properties available through sale at less than fair market value to States, their subdivisions and instrumentalities, and nonprofit organizations.</t>
        </is>
      </c>
      <c r="E3" s="8" t="inlineStr">
        <is>
          <t>40 U.S.C. 550(f)(3).</t>
        </is>
      </c>
      <c r="F3" s="8" t="n"/>
      <c r="G3" s="9" t="inlineStr">
        <is>
          <t>https://disposal.gsa.gov/s/</t>
        </is>
      </c>
    </row>
    <row r="4" ht="57" customHeight="1">
      <c r="A4" s="10" t="n">
        <v>8</v>
      </c>
      <c r="B4" s="11" t="inlineStr">
        <is>
          <t>Capacity Building for Community Development and Affordable Housing (Section 4)</t>
        </is>
      </c>
      <c r="C4" s="11" t="inlineStr">
        <is>
          <t>Community Planning and Development (CPD)</t>
        </is>
      </c>
      <c r="D4" s="11" t="inlineStr">
        <is>
          <t>Grants to national intermediaries to develop the capacity and ability of community development corporations (CDCs) and community housing development organizations (CHDOs) to carry out community development and affordable housing activities that benefit low- and moderateincome families and persons.</t>
        </is>
      </c>
      <c r="E4" s="11" t="inlineStr">
        <is>
          <t>Section 4 of the HUD Demonstration Act of 1993 (42 U.S.C. 9816 note).</t>
        </is>
      </c>
      <c r="F4" s="11" t="n"/>
      <c r="G4" s="12" t="inlineStr">
        <is>
          <t>https://www.hud.gov/program_offices/comm_planning/section-4</t>
        </is>
      </c>
    </row>
    <row r="5" ht="79.5" customHeight="1">
      <c r="A5" s="10" t="n">
        <v>9</v>
      </c>
      <c r="B5" s="11" t="inlineStr">
        <is>
          <t>Community Development Block Grant Disaster Recovery (CDBG-DR) Assistance</t>
        </is>
      </c>
      <c r="C5" s="11" t="inlineStr">
        <is>
          <t>Community Planning and Development (CPD)</t>
        </is>
      </c>
      <c r="D5" s="11" t="inlineStr">
        <is>
          <t>Flexible grants to help the most impacted and distressed areas recover long-term after Presidentially declared disasters.</t>
        </is>
      </c>
      <c r="E5" s="11" t="inlineStr">
        <is>
          <t>CDBG-DR assistance is largely governed by specific appropriations acts, most recently Public Law 117-328, and it is also subject to provisions of Title I of the Housing and Community Development Act of 1974 (42 U.S.C. 5301, et seq.) (made applicable by appropriations acts unless waived) and certain provisions of the Robert T. Stafford Disaster Relief and Emergency Assistance Act (42 U.S.C. 5121, et seq.).</t>
        </is>
      </c>
      <c r="F5" s="11" t="n"/>
      <c r="G5" s="12" t="inlineStr">
        <is>
          <t>https://www.hud.gov/program_offices/comm_planning/cdbg-dr</t>
        </is>
      </c>
    </row>
    <row r="6" ht="34.5" customHeight="1">
      <c r="A6" s="10" t="n">
        <v>11</v>
      </c>
      <c r="B6" s="11" t="inlineStr">
        <is>
          <t>Community Development Block Grants (CDBG) (Entitlement)</t>
        </is>
      </c>
      <c r="C6" s="11" t="inlineStr">
        <is>
          <t>Community Planning and Development (CPD)</t>
        </is>
      </c>
      <c r="D6" s="11" t="inlineStr">
        <is>
          <t>Funding to help metropolitan cities and urban counties meet their housing and community development needs.</t>
        </is>
      </c>
      <c r="E6" s="11" t="inlineStr">
        <is>
          <t>Title I, Housing and Community Development Act of 1974 (Public Law 93383, approved August 22, 1974) (42 U.S.C. 5301, et seq.).</t>
        </is>
      </c>
      <c r="F6" s="11" t="inlineStr">
        <is>
          <t>CDBG Program regulations are at 24 CFR part 570 and consolidated plan regulations are at 24 CFR part 91.</t>
        </is>
      </c>
      <c r="G6" s="12" t="inlineStr">
        <is>
          <t>https://www.hud.gov/program_offices/comm_planning/cdbg</t>
        </is>
      </c>
    </row>
    <row r="7" ht="34.5" customHeight="1">
      <c r="A7" s="10" t="n">
        <v>13</v>
      </c>
      <c r="B7" s="11" t="inlineStr">
        <is>
          <t>Community Development Block Grants for Insular Areas</t>
        </is>
      </c>
      <c r="C7" s="11" t="inlineStr">
        <is>
          <t>Community Planning and Development (CPD)</t>
        </is>
      </c>
      <c r="D7" s="11" t="inlineStr">
        <is>
          <t>Funding to help certain U.S. territories meet their housing and community development needs.</t>
        </is>
      </c>
      <c r="E7" s="11" t="inlineStr">
        <is>
          <t>Title I, Housing and Community Development Act of 1974 (42 U.S.C. 5301, et seq.).</t>
        </is>
      </c>
      <c r="F7" s="11" t="inlineStr">
        <is>
          <t>CDBG Program regulations are at 24 CFR part 570 and consolidated plan regulations are at 24 CFR part 91.</t>
        </is>
      </c>
      <c r="G7" s="12" t="inlineStr">
        <is>
          <t>https://www.hud.gov/program_offices/comm_planning/cdbg</t>
        </is>
      </c>
    </row>
    <row r="8" ht="34.5" customHeight="1">
      <c r="A8" s="10" t="n">
        <v>14</v>
      </c>
      <c r="B8" s="11" t="inlineStr">
        <is>
          <t>Community Development Block Grants (Non-Entitlement) for States and Small Cities</t>
        </is>
      </c>
      <c r="C8" s="11" t="inlineStr">
        <is>
          <t>Community Planning and Development (CPD)</t>
        </is>
      </c>
      <c r="D8" s="11" t="inlineStr">
        <is>
          <t>Funding to help States and units of local government in non-entitlement areas meet their housing and community development needs.</t>
        </is>
      </c>
      <c r="E8" s="11" t="inlineStr">
        <is>
          <t>Title I, Housing and Community Development Act of 1974 (42 U.S.C. 5301, et seq.).</t>
        </is>
      </c>
      <c r="F8" s="11" t="inlineStr">
        <is>
          <t>CDBG program regulations are at 24 CFR part 570 and consolidated plan regulations are at 24 CFR part 91.</t>
        </is>
      </c>
      <c r="G8" s="12" t="inlineStr">
        <is>
          <t>https://www.hud.gov/program_offices/comm_planning/cdbg</t>
        </is>
      </c>
    </row>
    <row r="9" ht="23.25" customHeight="1">
      <c r="A9" s="10" t="n">
        <v>15</v>
      </c>
      <c r="B9" s="11" t="inlineStr">
        <is>
          <t>Community Development Block Grants (Section 108 Loan Guarantee)</t>
        </is>
      </c>
      <c r="C9" s="11" t="inlineStr">
        <is>
          <t>Community Planning and Development (CPD)</t>
        </is>
      </c>
      <c r="D9" s="11" t="inlineStr">
        <is>
          <t>Loan guarantee assistance for community and economic development.</t>
        </is>
      </c>
      <c r="E9" s="11" t="inlineStr">
        <is>
          <t>Section 108 of the Housing and Community Development Act of 1974 (42 U.S.C. 5308).</t>
        </is>
      </c>
      <c r="F9" s="11" t="inlineStr">
        <is>
          <t>Regulations are at 24 CFR part 570.</t>
        </is>
      </c>
      <c r="G9" s="12" t="inlineStr">
        <is>
          <t>https://www.hud.gov/program_offices/comm_planning/section108</t>
        </is>
      </c>
    </row>
    <row r="10" ht="57" customHeight="1">
      <c r="A10" s="10" t="n">
        <v>17</v>
      </c>
      <c r="B10" s="11" t="inlineStr">
        <is>
          <t>Continuum of Care Program</t>
        </is>
      </c>
      <c r="C10" s="11" t="inlineStr">
        <is>
          <t>Community Planning and Development (CPD)</t>
        </is>
      </c>
      <c r="D10" s="11" t="inlineStr">
        <is>
          <t>Promotes community-wide commitment to the goal of ending homelessness; provides funding for efforts to quickly re-house homeless individuals and families while minimizing trauma and dislocation; promotes access to and effective utilization of mainstream programs; and optimizes self-sufficiency among individuals and families experiencing homelessness.</t>
        </is>
      </c>
      <c r="E10" s="11" t="inlineStr">
        <is>
          <t>Subtitle C of Title IV of the McKinney-Vento Homeless Assistance Act (42 U.S.C. 11381-11389).</t>
        </is>
      </c>
      <c r="F10" s="11" t="inlineStr">
        <is>
          <t>Regulations are at 24 CFR part 578.</t>
        </is>
      </c>
      <c r="G10" s="12" t="inlineStr">
        <is>
          <t>https://www.hud.gov/program_offices/comm_planning/coc</t>
        </is>
      </c>
    </row>
    <row r="11" ht="34.5" customHeight="1">
      <c r="A11" s="10" t="n">
        <v>18</v>
      </c>
      <c r="B11" s="11" t="inlineStr">
        <is>
          <t>Emergency Solutions Grants (ESG) Program</t>
        </is>
      </c>
      <c r="C11" s="11" t="inlineStr">
        <is>
          <t>Community Planning and Development (CPD)</t>
        </is>
      </c>
      <c r="D11" s="11" t="inlineStr">
        <is>
          <t>Formula grants to provide emergency assistance to people who are homeless or at risk of homelessness and help them quickly regain stability in permanent housing.</t>
        </is>
      </c>
      <c r="E11" s="11" t="inlineStr">
        <is>
          <t>Subtitle B of Title IV of the McKinney-Vento Homeless Assistance Act (42 U.S.C. 11371-11378).</t>
        </is>
      </c>
      <c r="F11" s="11" t="inlineStr">
        <is>
          <t>Regulations are at 24 CFR part 576.</t>
        </is>
      </c>
      <c r="G11" s="12" t="inlineStr">
        <is>
          <t>https://www.hud.gov/program_offices/comm_planning/esg</t>
        </is>
      </c>
    </row>
    <row r="12" ht="34.5" customHeight="1">
      <c r="A12" s="10" t="n">
        <v>19</v>
      </c>
      <c r="B12" s="11" t="inlineStr">
        <is>
          <t>Federal Surplus Property for Use to Assist Persons Experiencing Homelessness (Title V)</t>
        </is>
      </c>
      <c r="C12" s="11" t="inlineStr">
        <is>
          <t>Community Planning and Development (CPD)</t>
        </is>
      </c>
      <c r="D12" s="11" t="inlineStr">
        <is>
          <t>Enables States, local governments, and qualified nonprofit organizations to use suitable and available Federal properties which are categorized as unutilized, underutilized, excess, or surplus, to assist persons experiencing homelessness.</t>
        </is>
      </c>
      <c r="E12" s="11" t="inlineStr">
        <is>
          <t>Title V of the McKinney-Vento Homeless Assistance Act of 1987 (42 U.S.C. 11411).</t>
        </is>
      </c>
      <c r="F12" s="11" t="inlineStr">
        <is>
          <t>Regulations are at 24 CFR part 581.</t>
        </is>
      </c>
      <c r="G12" s="12" t="inlineStr">
        <is>
          <t>https://www.hud.gov/program_offices/comm_planning/titlev</t>
        </is>
      </c>
    </row>
    <row r="13" ht="34.5" customHeight="1">
      <c r="A13" s="10" t="n">
        <v>20</v>
      </c>
      <c r="B13" s="11" t="inlineStr">
        <is>
          <t>HOME Investment Partnerships</t>
        </is>
      </c>
      <c r="C13" s="11" t="inlineStr">
        <is>
          <t>Community Planning and Development (CPD)</t>
        </is>
      </c>
      <c r="D13" s="11" t="inlineStr">
        <is>
          <t>Grants to States, units of general local government, consortia, and insular areas (“participating jurisdictions”) to implement local housing strategies to increase affordable housing opportunities for low- and very low-income families.</t>
        </is>
      </c>
      <c r="E13" s="11" t="inlineStr">
        <is>
          <t>Title II of the Cranston-Gonzalez National Affordable Housing Act (42 U.S.C. 12721, et seq.).</t>
        </is>
      </c>
      <c r="F13" s="11" t="inlineStr">
        <is>
          <t>Regulations are at 24 CFR part 92 and consolidated plan regulations are at 24 CFR part 91.</t>
        </is>
      </c>
      <c r="G13" s="12" t="inlineStr">
        <is>
          <t>https://www.hud.gov/program_offices/comm_planning/home</t>
        </is>
      </c>
    </row>
    <row r="14" ht="34.5" customHeight="1">
      <c r="A14" s="10" t="n">
        <v>22</v>
      </c>
      <c r="B14" s="11" t="inlineStr">
        <is>
          <t>Housing Opportunities for Persons with AIDS (HOPWA)</t>
        </is>
      </c>
      <c r="C14" s="11" t="inlineStr">
        <is>
          <t>Community Planning and Development (CPD)</t>
        </is>
      </c>
      <c r="D14" s="11" t="inlineStr">
        <is>
          <t>Formula grants and competitively awarded grants to provide housing assistance and related supportive services to meet the housing needs of low-income persons living with HIV/AIDS and their families.</t>
        </is>
      </c>
      <c r="E14" s="11" t="inlineStr">
        <is>
          <t>The AIDS Housing Opportunity Act, Subtitle D of Title VIII of the CranstonGonzalez National Affordable Housing Act (42 U.S.C. 12901, et seq.).</t>
        </is>
      </c>
      <c r="F14" s="11" t="inlineStr">
        <is>
          <t>Regulations are at 24 CFR part 574.</t>
        </is>
      </c>
      <c r="G14" s="12" t="inlineStr">
        <is>
          <t>https://www.hud.gov/program_offices/comm_planning/hopwa</t>
        </is>
      </c>
    </row>
    <row r="15" ht="258.75" customHeight="1">
      <c r="A15" s="10" t="n">
        <v>23</v>
      </c>
      <c r="B15" s="11" t="inlineStr">
        <is>
          <t>Housing Trust Fund</t>
        </is>
      </c>
      <c r="C15" s="11" t="inlineStr">
        <is>
          <t>Community Planning and Development (CPD)</t>
        </is>
      </c>
      <c r="D15" s="11" t="inlineStr">
        <is>
          <t>Provides funds to States, State-designated entities, and insular areas for the construction, rehabilitation, and preservation of rental homes and for homeownership for extremely low- and very low-income families, including homeless families. Nature of the Program: The Housing Trust Fund (HTF) provides funding to construct, rehabilitate, and preserve permanent rental and homeownership housing, primarily for extremely low-income families. At least 80 percent of the funds must be used for the production, preservation, rehabilitation, or operation of rental housing. Up to 10 percent can be used for the following homeownership activities for first-time homebuyers: production, preservation, and rehabilitation; down payment assistance, closing cost assistance, and assistance for interest rate buy-downs. Up to 10 percent may be used for reasonable administrative and planning costs. In any fiscal year with an aggregate formula allocation under $1 billion, 100 percent of the grant funds must benefit extremely low-income families or families with incomes at or below the poverty line, whichever is greater. In any fiscal year with an aggregate formula allocation over $1 billion, at least 75 percent of grant funds must benefit extremely low-income families, and the remainder must benefit very low-income families. Eligible activities and expenses include real property acquisition, site improvements and development hard costs, related soft costs, demolition, financing costs, and relocation costs. HTF-assisted rental housing units must have a minimum affordability period of 30 years. The affordability period for homeownership housing ranges from 10 to 30 years, depending on the amount of per-unit homeownership assistance.</t>
        </is>
      </c>
      <c r="E15" s="11" t="inlineStr">
        <is>
          <t>Section 1338 of the Federal Housing Enterprises Financial Safety and Soundness Act of 1992 as amended (12 U.S.C. 4568).</t>
        </is>
      </c>
      <c r="F15" s="11" t="inlineStr">
        <is>
          <t>Regulations are at 24 CFR part 93 and consolidated plan regulations are at 24 CFR part 91.</t>
        </is>
      </c>
      <c r="G15" s="12" t="inlineStr">
        <is>
          <t>https://www.hud.gov/program_offices/comm_planning/htf</t>
        </is>
      </c>
    </row>
    <row r="16" ht="68.25" customHeight="1">
      <c r="A16" s="10" t="n">
        <v>24</v>
      </c>
      <c r="B16" s="11" t="inlineStr">
        <is>
          <t>Rural Capacity Building for Community Development and Affordable Housing Grants Program</t>
        </is>
      </c>
      <c r="C16" s="11" t="inlineStr">
        <is>
          <t>Community Planning and Development (CPD)</t>
        </is>
      </c>
      <c r="D16" s="11" t="inlineStr">
        <is>
          <t>Program Grants to national organization intermediaries for rural housing development organizations, community development corporations (CDCs), community housing development organizations (CHDOs), local governments, and Indian tribes to carry out community development and affordable housing activities that benefit low- and moderate-income families and persons in rural areas.</t>
        </is>
      </c>
      <c r="E16" s="11" t="inlineStr">
        <is>
          <t>Consolidated Appropriations Act, 2023 (Public Law 117-328, approved December 29, 2022).</t>
        </is>
      </c>
      <c r="F16" s="11" t="n"/>
      <c r="G16" s="12" t="inlineStr">
        <is>
          <t>https://www.hudexchange.info/programs/rural-capacity-building/</t>
        </is>
      </c>
    </row>
    <row r="17" ht="23.25" customHeight="1">
      <c r="A17" s="10" t="n">
        <v>25</v>
      </c>
      <c r="B17" s="11" t="inlineStr">
        <is>
          <t>Self-Help Homeownership Opportunity Program (SHOP)</t>
        </is>
      </c>
      <c r="C17" s="11" t="inlineStr">
        <is>
          <t>Community Planning and Development (CPD)</t>
        </is>
      </c>
      <c r="D17" s="11" t="inlineStr">
        <is>
          <t>Grants to national and regional nonprofits to fund opportunities for self-help homeownership housing.</t>
        </is>
      </c>
      <c r="E17" s="11" t="inlineStr">
        <is>
          <t>Section 11 of the Housing Opportunity Program Extension Act of 1996 (42 U.S.C. 12805 note).</t>
        </is>
      </c>
      <c r="F17" s="11" t="n"/>
      <c r="G17" s="12" t="inlineStr">
        <is>
          <t>https://www.hud.gov/program_offices/comm_planning/shop</t>
        </is>
      </c>
    </row>
    <row r="18" ht="34.5" customHeight="1">
      <c r="A18" s="7" t="n">
        <v>26</v>
      </c>
      <c r="B18" s="8" t="inlineStr">
        <is>
          <t>Energy Efficient Mortgage Program</t>
        </is>
      </c>
      <c r="C18" s="8" t="inlineStr">
        <is>
          <t>Office of Housing — Single Family Housing Programs</t>
        </is>
      </c>
      <c r="D18" s="8" t="inlineStr">
        <is>
          <t>Mortgage insurance to finance cost effective energy efficiency improvements.</t>
        </is>
      </c>
      <c r="E18" s="8" t="inlineStr">
        <is>
          <t>Section 513 of the Housing and Community Development Act of 1992 (Public Law 102-550, approved October 28, 1992) (12 U.S.C. 1701z-16).</t>
        </is>
      </c>
      <c r="F18" s="8" t="inlineStr">
        <is>
          <t>Regulations are at 24 CFR 203.18(i).</t>
        </is>
      </c>
      <c r="G18" s="9" t="inlineStr">
        <is>
          <t>https://www.hud.gov/program_offices/housing/sfh/eem/energy-r</t>
        </is>
      </c>
    </row>
    <row r="19" ht="45.75" customHeight="1">
      <c r="A19" s="7" t="n">
        <v>27</v>
      </c>
      <c r="B19" s="8" t="inlineStr">
        <is>
          <t>Good Neighbor Next Door Sales Program (GNND)</t>
        </is>
      </c>
      <c r="C19" s="8" t="inlineStr">
        <is>
          <t>Office of Housing — Single Family Housing Programs</t>
        </is>
      </c>
      <c r="D19" s="8" t="inlineStr">
        <is>
          <t>Provides eligible law enforcement officers, teachers (pre-Kindergarten through 12th grade), firefighters, and emergency medical technicians with the opportunity to purchase and live in homes located in revitalization areas at a fifty percent discount off the list price of eligible properties.</t>
        </is>
      </c>
      <c r="E19" s="8" t="inlineStr">
        <is>
          <t>Section 204 of the National Housing Act (12 U.S.C. 1710).</t>
        </is>
      </c>
      <c r="F19" s="8" t="inlineStr">
        <is>
          <t>Regulations are at 24 CFR part 291, subpart F.</t>
        </is>
      </c>
      <c r="G19" s="9" t="inlineStr">
        <is>
          <t>https://www.hud.gov/program_offices/housing/sfh/reo/goodn/gnndabot</t>
        </is>
      </c>
    </row>
    <row r="20" ht="57" customHeight="1">
      <c r="A20" s="7" t="n">
        <v>28</v>
      </c>
      <c r="B20" s="8" t="inlineStr">
        <is>
          <t>Home Equity Conversion Mortgage (HECM) (Section 255)</t>
        </is>
      </c>
      <c r="C20" s="8" t="inlineStr">
        <is>
          <t>Office of Housing — Single Family Housing Programs</t>
        </is>
      </c>
      <c r="D20" s="8" t="inlineStr">
        <is>
          <t>Mortgage insurance for reverse mortgages that provide borrowers who are at least 62 years old the ability to convert some of the equity in their primary residences into fixed interest rate mortgages with a single disbursement lump sum payment or adjustable interest rate mortgages with monthly streams of income or lines of credit, or a combination of both.</t>
        </is>
      </c>
      <c r="E20" s="8" t="inlineStr">
        <is>
          <t>Section 255 of the National Housing Act (12 U.S.C. 1715z-20).</t>
        </is>
      </c>
      <c r="F20" s="8" t="inlineStr">
        <is>
          <t>Regulations are at 24 CFR part 206.</t>
        </is>
      </c>
      <c r="G20" s="9" t="inlineStr">
        <is>
          <t>https://www.hud.gov/program_offices/housing/sfh/hecm/hecmabou</t>
        </is>
      </c>
    </row>
    <row r="21" ht="23.25" customHeight="1">
      <c r="A21" s="7" t="n">
        <v>29</v>
      </c>
      <c r="B21" s="8" t="inlineStr">
        <is>
          <t>Insurance for Adjustable Rate Mortgages (ARMs) (Section 251)</t>
        </is>
      </c>
      <c r="C21" s="8" t="inlineStr">
        <is>
          <t>Office of Housing — Single Family Housing Programs</t>
        </is>
      </c>
      <c r="D21" s="8" t="inlineStr">
        <is>
          <t>Mortgage insurance for adjustable rate forward mortgages (ARMs).</t>
        </is>
      </c>
      <c r="E21" s="8" t="inlineStr">
        <is>
          <t>Section 251 of the National Housing Act (12 U.S.C. 1715z-16).</t>
        </is>
      </c>
      <c r="F21" s="8" t="inlineStr">
        <is>
          <t>Regulations are at 24 CFR 203.49.</t>
        </is>
      </c>
      <c r="G21" s="9" t="inlineStr">
        <is>
          <t>https://www.hud.gov/program_offices/housing/sfh/ins/251--df</t>
        </is>
      </c>
    </row>
    <row r="22" ht="34.5" customHeight="1">
      <c r="A22" s="7" t="n">
        <v>30</v>
      </c>
      <c r="B22" s="8" t="inlineStr">
        <is>
          <t>Insured Mortgages on Hawaiian Home Lands (Section 247)</t>
        </is>
      </c>
      <c r="C22" s="8" t="inlineStr">
        <is>
          <t>Office of Housing — Single Family Housing Programs</t>
        </is>
      </c>
      <c r="D22" s="8" t="inlineStr">
        <is>
          <t>Insures loans to Native Hawaiians to purchase one- to four-family dwellings located on Hawaiian Home Lands, similar to Section 203(b) loans with certain exceptions.</t>
        </is>
      </c>
      <c r="E22" s="8" t="inlineStr">
        <is>
          <t>Section 247 of the National Housing Act (12 U.S.C. 1715z-12).</t>
        </is>
      </c>
      <c r="F22" s="8" t="inlineStr">
        <is>
          <t>Regulations are at 24 CFR 203.43i.</t>
        </is>
      </c>
      <c r="G22" s="9" t="inlineStr">
        <is>
          <t>https://www.hud.gov/program_offices/housing/sfh/ins/sfh_hawaiian_home_lands</t>
        </is>
      </c>
    </row>
    <row r="23" ht="23.25" customHeight="1">
      <c r="A23" s="7" t="n">
        <v>31</v>
      </c>
      <c r="B23" s="8" t="inlineStr">
        <is>
          <t>Loss Mitigation</t>
        </is>
      </c>
      <c r="C23" s="8" t="inlineStr">
        <is>
          <t>Office of Housing — Single Family Housing Programs</t>
        </is>
      </c>
      <c r="D23" s="8" t="inlineStr">
        <is>
          <t>Measures that allow lenders to effectively work with delinquent borrowers of FHA-insured single family loans to find solutions to avoid foreclosure.</t>
        </is>
      </c>
      <c r="E23" s="8" t="inlineStr">
        <is>
          <t>Sections 204(a) and 230 of the National Housing Act (12 U.S.C. 1710(a) and 12 U.S.C. 1715u).</t>
        </is>
      </c>
      <c r="F23" s="8" t="inlineStr">
        <is>
          <t>Regulations are at 24 CFR part 203.</t>
        </is>
      </c>
      <c r="G23" s="9" t="inlineStr">
        <is>
          <t>https://www.hud.gov/program_offices/housing/sfh/nsc/lossmit</t>
        </is>
      </c>
    </row>
    <row r="24" ht="34.5" customHeight="1">
      <c r="A24" s="7" t="n">
        <v>32</v>
      </c>
      <c r="B24" s="8" t="inlineStr">
        <is>
          <t>Manufactured Homes Loan Insurance (Title I)</t>
        </is>
      </c>
      <c r="C24" s="8" t="inlineStr">
        <is>
          <t>Office of Housing — Single Family Housing Programs</t>
        </is>
      </c>
      <c r="D24" s="8" t="inlineStr">
        <is>
          <t>Mortgage insurance for private lending institutions to finance the purchase or refinance of a new or existing manufactured home, a manufactured home lot, or a lot plus manufactured home.</t>
        </is>
      </c>
      <c r="E24" s="8" t="inlineStr">
        <is>
          <t>Section 2 of Title I of the National Housing Act (12 U.S.C. 1703).</t>
        </is>
      </c>
      <c r="F24" s="8" t="inlineStr">
        <is>
          <t>Regulations are at 24 CFR part 201.</t>
        </is>
      </c>
      <c r="G24" s="9" t="inlineStr">
        <is>
          <t>https://www.hud.gov/program_offices/housing/sfh/title/manuf14</t>
        </is>
      </c>
    </row>
    <row r="25" ht="34.5" customHeight="1">
      <c r="A25" s="7" t="n">
        <v>33</v>
      </c>
      <c r="B25" s="8" t="inlineStr">
        <is>
          <t>Mortgage Insurance for Disaster Victims (Section 203)</t>
        </is>
      </c>
      <c r="C25" s="8" t="inlineStr">
        <is>
          <t>Office of Housing — Single Family Housing Programs</t>
        </is>
      </c>
      <c r="D25" s="8" t="inlineStr">
        <is>
          <t>Mortgage insurance for victims of a Presidentially declared major disaster who have lost their homes and are in the process of rebuilding or buying another single family home.</t>
        </is>
      </c>
      <c r="E25" s="8" t="inlineStr">
        <is>
          <t>Section 203(h) of the National Housing Act (12 U.S.C. 1709(h)).</t>
        </is>
      </c>
      <c r="F25" s="8" t="inlineStr">
        <is>
          <t>Regulations are at 24 CFR 203.18.</t>
        </is>
      </c>
      <c r="G25" s="9" t="inlineStr">
        <is>
          <t>https://www.hud.gov/program_offices/housing/sfh/ins/203h-dft</t>
        </is>
      </c>
    </row>
    <row r="26" ht="23.25" customHeight="1">
      <c r="A26" s="7" t="n">
        <v>34</v>
      </c>
      <c r="B26" s="8" t="inlineStr">
        <is>
          <t>Mortgage Insurance for One- to Four-Family Homes (Section 203)</t>
        </is>
      </c>
      <c r="C26" s="8" t="inlineStr">
        <is>
          <t>Office of Housing — Single Family Housing Programs</t>
        </is>
      </c>
      <c r="D26" s="8" t="inlineStr">
        <is>
          <t>Mortgage insurance for purchasing or refinancing a primary residence.</t>
        </is>
      </c>
      <c r="E26" s="8" t="inlineStr">
        <is>
          <t>Sections 203(b) and 214 of the National Housing Act (12 U.S.C. 1709(b) and 12 U.S.C. 1715d).</t>
        </is>
      </c>
      <c r="F26" s="8" t="inlineStr">
        <is>
          <t>Regulations are at 24 CFR part 203.</t>
        </is>
      </c>
      <c r="G26" s="9" t="inlineStr">
        <is>
          <t>https://www.hud.gov/program_offices/housing/sfh/ins/203b--df</t>
        </is>
      </c>
    </row>
    <row r="27" ht="34.5" customHeight="1">
      <c r="A27" s="7" t="n">
        <v>35</v>
      </c>
      <c r="B27" s="8" t="inlineStr">
        <is>
          <t>Mortgage Insurance Programs on Indian Reservations and Other Restricted Lands (Section 248)</t>
        </is>
      </c>
      <c r="C27" s="8" t="inlineStr">
        <is>
          <t>Office of Housing — Single Family Housing Programs</t>
        </is>
      </c>
      <c r="D27" s="8" t="inlineStr">
        <is>
          <t>Mortgage insurance for loans made to Native Americans to buy, build, or rehabilitate houses on Indian trust or otherwise restricted land; fundamentally the same as Section 203(b) loans.</t>
        </is>
      </c>
      <c r="E27" s="8" t="inlineStr">
        <is>
          <t>Section 248 of the National Housing Act (12 U.S.C. 1715z-13).</t>
        </is>
      </c>
      <c r="F27" s="8" t="inlineStr">
        <is>
          <t>Regulations are at 24 CFR 203.43h.</t>
        </is>
      </c>
      <c r="G27" s="9" t="inlineStr">
        <is>
          <t>https://www.hud.gov/program_offices/housing/sfh/ins/sfh248</t>
        </is>
      </c>
    </row>
    <row r="28" ht="45.75" customHeight="1">
      <c r="A28" s="7" t="n">
        <v>36</v>
      </c>
      <c r="B28" s="8" t="inlineStr">
        <is>
          <t>Property Improvement Loan Insurance (Title I)</t>
        </is>
      </c>
      <c r="C28" s="8" t="inlineStr">
        <is>
          <t>Office of Housing — Single Family Housing Programs</t>
        </is>
      </c>
      <c r="D28" s="8" t="inlineStr">
        <is>
          <t>Mortgage insurance for loans to finance or refinance the alteration, repair or improvement of property, for the purchase and installation of fire safety equipment in existing health care facilities, and for the preservation of historic structures.</t>
        </is>
      </c>
      <c r="E28" s="8" t="inlineStr">
        <is>
          <t>Section 2 of Title I of the National Housing Act (12 U.S.C. 1703).</t>
        </is>
      </c>
      <c r="F28" s="8" t="inlineStr">
        <is>
          <t>Regulations are at 24 CFR part 201.</t>
        </is>
      </c>
      <c r="G28" s="9" t="inlineStr">
        <is>
          <t>https://www.hud.gov/program_offices/housing/sfh/title</t>
        </is>
      </c>
    </row>
    <row r="29" ht="23.25" customHeight="1">
      <c r="A29" s="7" t="n">
        <v>37</v>
      </c>
      <c r="B29" s="8" t="inlineStr">
        <is>
          <t>Rehabilitation Loan Mortgage Insurance (Section 203(k))</t>
        </is>
      </c>
      <c r="C29" s="8" t="inlineStr">
        <is>
          <t>Office of Housing — Single Family Housing Programs</t>
        </is>
      </c>
      <c r="D29" s="8" t="inlineStr">
        <is>
          <t>Mortgage insurance to finance the rehabilitation or purchase and rehabilitation of one- to fourunit structures.</t>
        </is>
      </c>
      <c r="E29" s="8" t="inlineStr">
        <is>
          <t>Section 203(k) of the National Housing Act (12 U.S.C. 1709(k)).</t>
        </is>
      </c>
      <c r="F29" s="8" t="inlineStr">
        <is>
          <t>Regulations are in 24 CFR 203.50.</t>
        </is>
      </c>
      <c r="G29" s="9" t="inlineStr">
        <is>
          <t>https://www.hud.gov/program_offices/housing/sfh/203k/203k--df</t>
        </is>
      </c>
    </row>
    <row r="30" ht="23.25" customHeight="1">
      <c r="A30" s="7" t="n">
        <v>38</v>
      </c>
      <c r="B30" s="8" t="inlineStr">
        <is>
          <t>Single Family Property Disposition Program (Section 204(g))</t>
        </is>
      </c>
      <c r="C30" s="8" t="inlineStr">
        <is>
          <t>Office of Housing — Single Family Housing Programs</t>
        </is>
      </c>
      <c r="D30" s="8" t="inlineStr">
        <is>
          <t>Disposes of one- to four-family properties acquired by FHA through foreclosure of an insured or Secretary-held mortgage loan under the National Housing Act.</t>
        </is>
      </c>
      <c r="E30" s="8" t="inlineStr">
        <is>
          <t>Section 204(g) of the National Housing Act (12 U.S.C. 1710(g)).</t>
        </is>
      </c>
      <c r="F30" s="8" t="inlineStr">
        <is>
          <t>Regulations are at 24 CFR part 291.</t>
        </is>
      </c>
      <c r="G30" s="9" t="inlineStr">
        <is>
          <t>http://www.hudhomestore.gov/Home/Index.aspx</t>
        </is>
      </c>
    </row>
    <row r="31" ht="45.75" customHeight="1">
      <c r="A31" s="7" t="n">
        <v>39</v>
      </c>
      <c r="B31" s="8" t="inlineStr">
        <is>
          <t>Single Family Loan Sale Program (SFLS)</t>
        </is>
      </c>
      <c r="C31" s="8" t="inlineStr">
        <is>
          <t>Office of Housing — Single Family Housing Programs</t>
        </is>
      </c>
      <c r="D31" s="8" t="inlineStr">
        <is>
          <t>Servicers assign eligible, defaulted single family mortgage loans to FHA in exchange for claim payment, after which FHA terminates its insurance and pools and sells the loans either in competitive auctions to qualified bidders or, on a limited basis, directly to units of State and local government.</t>
        </is>
      </c>
      <c r="E31" s="8" t="inlineStr">
        <is>
          <t>Sections 204(a) and (g) of the National Housing Act (12 U.S.C. 1710(a) and (g)).</t>
        </is>
      </c>
      <c r="F31" s="8" t="inlineStr">
        <is>
          <t>Regulations are at 24 CFR part 291.</t>
        </is>
      </c>
      <c r="G31" s="9" t="inlineStr">
        <is>
          <t>https://www.hud.gov/program_offices/housing/comp/asset/hsgloan</t>
        </is>
      </c>
    </row>
    <row r="32" ht="45.75" customHeight="1">
      <c r="A32" s="10" t="n">
        <v>40</v>
      </c>
      <c r="B32" s="11" t="inlineStr">
        <is>
          <t>Manufactured Home Construction and Safety Standards</t>
        </is>
      </c>
      <c r="C32" s="11" t="inlineStr">
        <is>
          <t>Office of Housing — Risk Management and Regulatory Affairs</t>
        </is>
      </c>
      <c r="D32" s="11" t="inlineStr">
        <is>
          <t>Federal standards for the design, construction, transportation, and systems (fire safety, plumbing, heat producing, and electrical) of manufactured homes that are designed to be used as dwelling units. The standards seek to protect the quality, durability, safety, and affordability of manufactured homes.</t>
        </is>
      </c>
      <c r="E32" s="11" t="inlineStr">
        <is>
          <t>National Manufactured Housing Construction and Safety Standards Act of 1974 (42 U.S.C. 5401-5426) (42 U.S.C. 5425 has been repealed).</t>
        </is>
      </c>
      <c r="F32" s="11" t="inlineStr">
        <is>
          <t>Regulations are at 24 CFR parts 3280, 3282, 3284, 3285, 3286, 3288, and 3800.</t>
        </is>
      </c>
      <c r="G32" s="12" t="inlineStr">
        <is>
          <t>https://www.hud.gov/program_offices/housing/mhs/csp</t>
        </is>
      </c>
    </row>
    <row r="33" ht="34.5" customHeight="1">
      <c r="A33" s="7" t="n">
        <v>41</v>
      </c>
      <c r="B33" s="8" t="inlineStr">
        <is>
          <t>Mark-to-Market Program (M2M)</t>
        </is>
      </c>
      <c r="C33" s="8" t="inlineStr">
        <is>
          <t>Office of Housing — Multifamily Housing Programs</t>
        </is>
      </c>
      <c r="D33" s="8" t="inlineStr">
        <is>
          <t>Preserves long-term low-income housing affordability by restructuring FHA-insured or HUDheld mortgages for eligible multifamily housing projects and renewing the project’s Section 8 contract.</t>
        </is>
      </c>
      <c r="E33" s="8" t="inlineStr">
        <is>
          <t>Multifamily Assisted Housing Reform and Affordability Act of 1997 (42 U.S.C. 1437f note).</t>
        </is>
      </c>
      <c r="F33" s="8" t="inlineStr">
        <is>
          <t>Regulations are at 24 CFR part 401.</t>
        </is>
      </c>
      <c r="G33" s="9" t="inlineStr">
        <is>
          <t>https://www.hud.gov/program_offices/housing/mfh/presrv/presmfh/aboutm2m</t>
        </is>
      </c>
    </row>
    <row r="34" ht="23.25" customHeight="1">
      <c r="A34" s="7" t="n">
        <v>42</v>
      </c>
      <c r="B34" s="8" t="inlineStr">
        <is>
          <t>Mortgage Insurance for Cooperative Housing (Section 213)</t>
        </is>
      </c>
      <c r="C34" s="8" t="inlineStr">
        <is>
          <t>Office of Housing — Multifamily Housing Programs</t>
        </is>
      </c>
      <c r="D34" s="8" t="inlineStr">
        <is>
          <t>Mortgage insurance to finance new construction, substantial rehabilitation, and purchase of cooperative housing projects.</t>
        </is>
      </c>
      <c r="E34" s="8" t="inlineStr">
        <is>
          <t>Section 213 of the National Housing Act (12 U.S.C. 1715e).</t>
        </is>
      </c>
      <c r="F34" s="8" t="inlineStr">
        <is>
          <t>Regulations are at 24 CFR part 200, subpart A and 24 CFR part 213.</t>
        </is>
      </c>
      <c r="G34" s="9" t="inlineStr">
        <is>
          <t>https://www.hud.gov/program_offices/housing/mfh/progdesc/progsec213</t>
        </is>
      </c>
    </row>
    <row r="35" ht="34.5" customHeight="1">
      <c r="A35" s="7" t="n">
        <v>43</v>
      </c>
      <c r="B35" s="8" t="inlineStr">
        <is>
          <t>Mortgage Insurance for Purchase or Refinance of Existing and Multifamily Rental Housing (Sections 207 and 223(f))</t>
        </is>
      </c>
      <c r="C35" s="8" t="inlineStr">
        <is>
          <t>Office of Housing — Multifamily Housing Programs</t>
        </is>
      </c>
      <c r="D35" s="8" t="inlineStr">
        <is>
          <t>Housing (Sections 207 and 223(f)) Mortgage insurance for the purchase or refinancing of existing multifamily rental housing.</t>
        </is>
      </c>
      <c r="E35" s="8" t="inlineStr">
        <is>
          <t>Sections 207 and 223(f) of the National Housing Act (12 U.S.C. 1713 and 12 U.S.C. 1715n(f)).</t>
        </is>
      </c>
      <c r="F35" s="8" t="inlineStr">
        <is>
          <t>Regulations are at 24 CFR part 200 and part 207.</t>
        </is>
      </c>
      <c r="G35" s="9" t="inlineStr">
        <is>
          <t>https://www.hud.gov/program_offices/housing/mfh/progdesc/purchrefi223f</t>
        </is>
      </c>
    </row>
    <row r="36" ht="23.25" customHeight="1">
      <c r="A36" s="7" t="n">
        <v>44</v>
      </c>
      <c r="B36" s="8" t="inlineStr">
        <is>
          <t>Mortgage Insurance for Rental Housing for the Elderly (Section 231)</t>
        </is>
      </c>
      <c r="C36" s="8" t="inlineStr">
        <is>
          <t>Office of Housing — Multifamily Housing Programs</t>
        </is>
      </c>
      <c r="D36" s="8" t="inlineStr">
        <is>
          <t>Mortgage insurance to finance the construction or rehabilitation of multifamily rental housing for the elderly and/or persons with disabilities.</t>
        </is>
      </c>
      <c r="E36" s="8" t="inlineStr">
        <is>
          <t>Section 231 of the National Housing Act (12 U.S.C. 1715v).</t>
        </is>
      </c>
      <c r="F36" s="8" t="inlineStr">
        <is>
          <t>Regulations are at 24 CFR part 200, subpart A, and part 231.</t>
        </is>
      </c>
      <c r="G36" s="9" t="inlineStr">
        <is>
          <t>https://www.hud.gov/program_offices/housing/mfh/progdesc/progsec231</t>
        </is>
      </c>
    </row>
    <row r="37" ht="45.75" customHeight="1">
      <c r="A37" s="7" t="n">
        <v>45</v>
      </c>
      <c r="B37" s="8" t="inlineStr">
        <is>
          <t>Mortgage Insurance for Rental Housing for Urban Renewal and Concentrated Development Areas (Section 220)</t>
        </is>
      </c>
      <c r="C37" s="8" t="inlineStr">
        <is>
          <t>Office of Housing — Multifamily Housing Programs</t>
        </is>
      </c>
      <c r="D37" s="8" t="inlineStr">
        <is>
          <t>Development Areas (Section 220) Mortgage insurance for housing in urban renewal areas, areas in which concentrated revitalization or code enforcement activities have been undertaken by local government, or to alter, repair, or improve housing in those areas.</t>
        </is>
      </c>
      <c r="E37" s="8" t="inlineStr">
        <is>
          <t>Section 220 of the National Housing Act (12 U.S.C. 1715k).</t>
        </is>
      </c>
      <c r="F37" s="8" t="inlineStr">
        <is>
          <t>Regulations are at 24 CFR part 200, subpart A, and part 220.</t>
        </is>
      </c>
      <c r="G37" s="9" t="inlineStr">
        <is>
          <t>https://www.hud.gov/program_offices/housing/mfh/progdesc/progsec220</t>
        </is>
      </c>
    </row>
    <row r="38" ht="34.5" customHeight="1">
      <c r="A38" s="7" t="n">
        <v>46</v>
      </c>
      <c r="B38" s="8" t="inlineStr">
        <is>
          <t>Mortgage Insurance for Supplemental Loans for Multifamily and Healthcare Projects (Section 241)</t>
        </is>
      </c>
      <c r="C38" s="8" t="inlineStr">
        <is>
          <t>Office of Housing — Multifamily Housing Programs</t>
        </is>
      </c>
      <c r="D38" s="8" t="inlineStr">
        <is>
          <t>Mortgage insurance to finance repairs, improvements of, additions to, and equipment for, multifamily rental housing and healthcare facilities.</t>
        </is>
      </c>
      <c r="E38" s="8" t="inlineStr">
        <is>
          <t>Section 241 of the National Housing Act (12 U.S.C. 1715z-6).</t>
        </is>
      </c>
      <c r="F38" s="8" t="inlineStr">
        <is>
          <t>Regulations are at 24 CFR part 200 and 24 CFR part 241.</t>
        </is>
      </c>
      <c r="G38" s="9" t="inlineStr">
        <is>
          <t>https://www.hud.gov/program_offices/housing/mfh/progdesc/progsec241a</t>
        </is>
      </c>
    </row>
    <row r="39" ht="68.25" customHeight="1">
      <c r="A39" s="7" t="n">
        <v>47</v>
      </c>
      <c r="B39" s="8" t="inlineStr">
        <is>
          <t>Multifamily Housing Service Coordinators</t>
        </is>
      </c>
      <c r="C39" s="8" t="inlineStr">
        <is>
          <t>Office of Housing — Multifamily Housing Programs</t>
        </is>
      </c>
      <c r="D39" s="8" t="inlineStr">
        <is>
          <t>Assistance to elderly individuals and persons with disabilities living in Federally insured and assisted multifamily housing to obtain voluntary supportive services.</t>
        </is>
      </c>
      <c r="E39" s="8" t="inlineStr">
        <is>
          <t>Section 202(g) of the National Housing Act (12 U.S.C. 1701q), section 8(d)(2) of the United States Housing Act of 1937 (42 U.S.C. 1437f(d)(2)), and sections 671, 676, and 683 of the Housing and Community Development Act of 1992 (42 U.S.C. 13631, 13632, and 13641). Program management must be in accordance with OMB’s.</t>
        </is>
      </c>
      <c r="F39" s="8" t="inlineStr">
        <is>
          <t>Uniform Guidance regulations at 2 CFR part 200.</t>
        </is>
      </c>
      <c r="G39" s="9" t="inlineStr">
        <is>
          <t>https://www.hud.gov/program_offices/housing/mfh/scp/scphome</t>
        </is>
      </c>
    </row>
    <row r="40" ht="45.75" customHeight="1">
      <c r="A40" s="7" t="n">
        <v>48</v>
      </c>
      <c r="B40" s="8" t="inlineStr">
        <is>
          <t>Multifamily Mortgage Risk-Sharing Programs (Sections 542(b) and 542(c))</t>
        </is>
      </c>
      <c r="C40" s="8" t="inlineStr">
        <is>
          <t>Office of Housing — Multifamily Housing Programs</t>
        </is>
      </c>
      <c r="D40" s="8" t="inlineStr">
        <is>
          <t>Two multifamily mortgage credit programs under which Fannie Mae, Freddie Mac, and State and local housing finance agencies share the risk and the mortgage insurance premium on multifamily housing.</t>
        </is>
      </c>
      <c r="E40" s="8" t="inlineStr">
        <is>
          <t>Section 542 of the Housing and Community Development Act of 1992 (12 U.S.C. 1715z-22).</t>
        </is>
      </c>
      <c r="F40" s="8" t="inlineStr">
        <is>
          <t>Regulations are at 24 CFR part 266 for the Section 542(c) program. Section 542(b) is implemented through a Federal Register notice and negotiated agreements without regulations.</t>
        </is>
      </c>
      <c r="G40" s="8" t="inlineStr">
        <is>
          <t>https://www.hud.gov/program_offices/housing/mfh/progdesc/progsec542b
https://www.hud.gov/program_offices/housing/mfh/progdesc/riskshare542c</t>
        </is>
      </c>
    </row>
    <row r="41" ht="45.75" customHeight="1">
      <c r="A41" s="7" t="n">
        <v>49</v>
      </c>
      <c r="B41" s="8" t="inlineStr">
        <is>
          <t>Multifamily Rental Housing for Moderate-Income Families (Section 221(d)(3) and (4))</t>
        </is>
      </c>
      <c r="C41" s="8" t="inlineStr">
        <is>
          <t>Office of Housing — Multifamily Housing Programs</t>
        </is>
      </c>
      <c r="D41" s="8" t="inlineStr">
        <is>
          <t>Mortgage insurance to finance rental or cooperative multifamily housing for moderate-income households, including projects designated for the elderly. Section 221(d)(3) and (4) are HUD’s major insurance programs for newly constructed or substantially rehabilitated multifamily rental housing.</t>
        </is>
      </c>
      <c r="E41" s="8" t="inlineStr">
        <is>
          <t>Section 221 of the National Housing Act (12 U.S.C. 1715l). The 221(d)(3) program has no regulations.</t>
        </is>
      </c>
      <c r="F41" s="8" t="inlineStr">
        <is>
          <t>Regulations for the 221(d)(4) program are at 24 CFR part 200, and part 221, subparts C and D.</t>
        </is>
      </c>
      <c r="G41" s="9" t="inlineStr">
        <is>
          <t>https://www.hud.gov/program_offices/housing/mfh/progdesc/rentcoophsg221d3n4</t>
        </is>
      </c>
    </row>
    <row r="42" ht="68.25" customHeight="1">
      <c r="A42" s="7" t="n">
        <v>50</v>
      </c>
      <c r="B42" s="8" t="inlineStr">
        <is>
          <t>Renewal of Section 8 Project-Based Rental Assistance</t>
        </is>
      </c>
      <c r="C42" s="8" t="inlineStr">
        <is>
          <t>Office of Housing — Multifamily Housing Programs</t>
        </is>
      </c>
      <c r="D42" s="8" t="inlineStr">
        <is>
          <t>Assistance for extremely low-, low- and very low-income families to obtain decent, safe, and sanitary housing.</t>
        </is>
      </c>
      <c r="E42" s="8" t="inlineStr">
        <is>
          <t>For the renewal of Section 8 project-based assistance, see sections 515 and 524 of the Multifamily Assisted Housing Reform and Affordability Act of 1997 (42 U.S.C.</t>
        </is>
      </c>
      <c r="F42" s="8" t="inlineStr">
        <is>
          <t>1437f) and 24 CFR parts 401 and 402. For Section 8 requirements, see Section 8 regulations at 24 CFR parts 5, 402, 880, 881, 882, 883, 884, 886, and the Section 202 Projects for the Elderly or Handicapped—Section 8 Assistance regulations in 24 CFR part 891, subpart E.</t>
        </is>
      </c>
      <c r="G42" s="9" t="inlineStr">
        <is>
          <t>https://www.hud.gov/program_offices/housing/mfh/mfhsec8</t>
        </is>
      </c>
    </row>
    <row r="43" ht="34.5" customHeight="1">
      <c r="A43" s="7" t="n">
        <v>51</v>
      </c>
      <c r="B43" s="8" t="inlineStr">
        <is>
          <t>Supportive Housing for the Elderly (Section 202)</t>
        </is>
      </c>
      <c r="C43" s="8" t="inlineStr">
        <is>
          <t>Office of Housing — Multifamily Housing Programs</t>
        </is>
      </c>
      <c r="D43" s="8" t="inlineStr">
        <is>
          <t>Capital advances and project rental assistance contracts to expand the supply of affordable housing with voluntary supportive services for very low-income elderly persons.</t>
        </is>
      </c>
      <c r="E43" s="8" t="inlineStr">
        <is>
          <t>Section 202 of the Housing Act of 1959 (12 U.S.C. 1701q).</t>
        </is>
      </c>
      <c r="F43" s="8" t="inlineStr">
        <is>
          <t>Regulations are at 24 CFR part 891.</t>
        </is>
      </c>
      <c r="G43" s="9" t="inlineStr">
        <is>
          <t>https://www.hud.gov/program_offices/housing/mfh/progdesc/eld202</t>
        </is>
      </c>
    </row>
    <row r="44" ht="45.75" customHeight="1">
      <c r="A44" s="7" t="n">
        <v>52</v>
      </c>
      <c r="B44" s="8" t="inlineStr">
        <is>
          <t>Supportive Housing for Persons with Disabilities (Section 811) and the Section 811 Project Rental Assistance (Section 811 PRA) program</t>
        </is>
      </c>
      <c r="C44" s="8" t="inlineStr">
        <is>
          <t>Office of Housing — Multifamily Housing Programs</t>
        </is>
      </c>
      <c r="D44" s="8" t="inlineStr">
        <is>
          <t>Rental Assistance (Section 811 PRA) program Assistance for housing and voluntary supportive services for extremely-low income persons with disabilities who are between the ages of 18 and 62, and promotion of community integration for low- and extremely low-income persons with disabilities.</t>
        </is>
      </c>
      <c r="E44" s="8" t="inlineStr">
        <is>
          <t>Section 811 of the Cranston-Gonzalez National Affordable Housing Act (42 U.S.C. 8013).</t>
        </is>
      </c>
      <c r="F44" s="8" t="inlineStr">
        <is>
          <t>Regulations for the Section 811 capital advance program are at 24 CFR part 891. There are no regulations for the Section 811 PRA program.</t>
        </is>
      </c>
      <c r="G44" s="9" t="inlineStr">
        <is>
          <t>https://www.hud.gov/program_offices/housing/mfh/progdesc/disab811</t>
        </is>
      </c>
    </row>
    <row r="45" ht="23.25" customHeight="1">
      <c r="A45" s="10" t="n">
        <v>54</v>
      </c>
      <c r="B45" s="11" t="inlineStr">
        <is>
          <t>Hospitals (Section 242)</t>
        </is>
      </c>
      <c r="C45" s="11" t="inlineStr">
        <is>
          <t>Office of Housing — Healthcare Programs</t>
        </is>
      </c>
      <c r="D45" s="11" t="inlineStr">
        <is>
          <t>Mortgage insurance to finance construction or rehabilitation of public or private nonprofit and proprietary hospitals, including major movable equipment.</t>
        </is>
      </c>
      <c r="E45" s="11" t="inlineStr">
        <is>
          <t>Section 242 of the National Housing Act (12 U.S.C. 1715z-7) and Section 223(f) (12 U.S.C. 1715n(f)).</t>
        </is>
      </c>
      <c r="F45" s="11" t="inlineStr">
        <is>
          <t>Regulations are at 24 CFR part 242.</t>
        </is>
      </c>
      <c r="G45" s="12" t="inlineStr">
        <is>
          <t>https://www.hud.gov/federal_housing_administration/healthcare_facilities/section_242</t>
        </is>
      </c>
    </row>
    <row r="46" ht="57" customHeight="1">
      <c r="A46" s="10" t="n">
        <v>55</v>
      </c>
      <c r="B46" s="11" t="inlineStr">
        <is>
          <t>New Construction or Substantial Rehabilitation of Nursing Homes, Intermediate Care Facilities, Board and Care Homes, and Assisted Living Facilities (Section 232)</t>
        </is>
      </c>
      <c r="C46" s="11" t="inlineStr">
        <is>
          <t>Office of Housing — Healthcare Programs</t>
        </is>
      </c>
      <c r="D46" s="11" t="inlineStr">
        <is>
          <t>Facilities, Board and Care Homes, and Assisted Living Facilities (Section 232) Mortgage insurance to finance the purchase, refinancing, construction, acquisition, or substantial rehabilitation of nursing homes, assisted-living, intermediate care, board and care facilities, and fire safety equipment.</t>
        </is>
      </c>
      <c r="E46" s="11" t="inlineStr">
        <is>
          <t>Sections 232 (12 U.S.C. 1715w) and 223(f) (12 U.S.C. 1715n(f)) of the National Housing Act.</t>
        </is>
      </c>
      <c r="F46" s="11" t="inlineStr">
        <is>
          <t>Regulations are at 24 CFR part 200, and part 232.</t>
        </is>
      </c>
      <c r="G46" s="12" t="inlineStr">
        <is>
          <t>https://www.hud.gov/federal_housing_administration/healthcare_facilities/residential_care</t>
        </is>
      </c>
    </row>
    <row r="47" ht="45.75" customHeight="1">
      <c r="A47" s="7" t="n">
        <v>56</v>
      </c>
      <c r="B47" s="8" t="inlineStr">
        <is>
          <t>Housing Counseling Program</t>
        </is>
      </c>
      <c r="C47" s="8" t="inlineStr">
        <is>
          <t>Office of Housing — Office of Housing Counseling</t>
        </is>
      </c>
      <c r="D47" s="8" t="inlineStr">
        <is>
          <t>Provides regulatory oversight and capacity building to HUD-approved Housing Counseling Agencies and HUD-certified counselors and awards grants to facilitate housing counseling services, addressing such needs as purchasing or renting a home, preventing foreclosure and eviction, and diminishing homelessness.</t>
        </is>
      </c>
      <c r="E47" s="8" t="inlineStr">
        <is>
          <t>Section 4(g)(3) of the Department of Housing and Urban Development Act of 1965 (42 U.S.C. 3533(g)(3)) and section 106 of the Housing and Urban Development Act of 1968 (12 U.S.C. 1701x).</t>
        </is>
      </c>
      <c r="F47" s="8" t="inlineStr">
        <is>
          <t>Regulations are at 24 CFR part 206, subpart E and part 214.</t>
        </is>
      </c>
      <c r="G47" s="9" t="inlineStr">
        <is>
          <t>https://www.hudexchange.info/programs/housingcounseling/program-description/</t>
        </is>
      </c>
    </row>
    <row r="48" ht="34.5" customHeight="1">
      <c r="A48" s="10" t="n">
        <v>57</v>
      </c>
      <c r="B48" s="11" t="inlineStr">
        <is>
          <t>Book-Rich Environments Initiative</t>
        </is>
      </c>
      <c r="C48" s="11" t="inlineStr">
        <is>
          <t>Public and Indian Housing (PIH) — Public Housing Programs</t>
        </is>
      </c>
      <c r="D48" s="11" t="inlineStr">
        <is>
          <t>Collaboration aimed to transform public housing agencies (PHAs) into book-rich environments by providing diverse, high-quality books and other literacy tools to children and families living in HUD-assisted housing.</t>
        </is>
      </c>
      <c r="E48" s="11" t="inlineStr">
        <is>
          <t>Section 501 of the Housing and Urban Development Act of 1970 (12 U.S.C. 1701z-1).</t>
        </is>
      </c>
      <c r="F48" s="11" t="n"/>
      <c r="G48" s="12" t="inlineStr">
        <is>
          <t>https://www.hud.gov/program_offices/public_indian_housing/bre</t>
        </is>
      </c>
    </row>
    <row r="49" ht="57" customHeight="1">
      <c r="A49" s="10" t="n">
        <v>58</v>
      </c>
      <c r="B49" s="11" t="inlineStr">
        <is>
          <t>Choice Neighborhoods</t>
        </is>
      </c>
      <c r="C49" s="11" t="inlineStr">
        <is>
          <t>Public and Indian Housing (PIH) — Public Housing Programs</t>
        </is>
      </c>
      <c r="D49" s="11" t="inlineStr">
        <is>
          <t>Competitive grant program to develop severely distressed HUD housing through a comprehensive approach which transforms neighborhoods of poverty into vibrant, mixed-income neighborhoods.</t>
        </is>
      </c>
      <c r="E49" s="11" t="inlineStr">
        <is>
          <t>Choice Neighborhoods is authorized through annual appropriations acts, most recently the Consolidated Appropriations Act, 2024 (Public Law 118-42, approved March 9, 2024); section 24 of the United States Housing Act of 1937 (42 U.S.C. 1437v) .</t>
        </is>
      </c>
      <c r="F49" s="11" t="n"/>
      <c r="G49" s="12" t="inlineStr">
        <is>
          <t>https://www.hud.gov/cn</t>
        </is>
      </c>
    </row>
    <row r="50" ht="34.5" customHeight="1">
      <c r="A50" s="10" t="n">
        <v>59</v>
      </c>
      <c r="B50" s="11" t="inlineStr">
        <is>
          <t>ConnectHomeUSA</t>
        </is>
      </c>
      <c r="C50" s="11" t="inlineStr">
        <is>
          <t>Public and Indian Housing (PIH) — Public Housing Programs</t>
        </is>
      </c>
      <c r="D50" s="11" t="inlineStr">
        <is>
          <t>Platform for public-private collaboration to improve educational, employment, and health outcomes of HUD-assisted households by narrowing the digital divide.</t>
        </is>
      </c>
      <c r="E50" s="11" t="inlineStr">
        <is>
          <t>Section 501 of the Housing and Urban Development Act of 1970 (12 U.S.C. 1701z-1); notice published in the Federal Register on April 3, 2015, at 80 FR 18248.</t>
        </is>
      </c>
      <c r="F50" s="11" t="n"/>
      <c r="G50" s="11" t="n"/>
    </row>
    <row r="51" ht="68.25" customHeight="1">
      <c r="A51" s="10" t="n">
        <v>60</v>
      </c>
      <c r="B51" s="11" t="inlineStr">
        <is>
          <t>Family Self-Sufficiency (FSS) Program</t>
        </is>
      </c>
      <c r="C51" s="11" t="inlineStr">
        <is>
          <t>Public and Indian Housing (PIH) — Public Housing Programs</t>
        </is>
      </c>
      <c r="D51" s="11" t="inlineStr">
        <is>
          <t>Promotes the development of local strategies to coordinate public and private resources that help housing choice voucher program participants, public housing tenants, and tenants in the Section 8 Project-Based Rental Assistance (PBRA) program to obtain employment that aims to enable participating families to achieve economic independence and reduce dependence on welfare assistance and rental subsidies.</t>
        </is>
      </c>
      <c r="E51" s="11" t="inlineStr">
        <is>
          <t>Section 23 of the United States Housing Act of 1937 (42 U.S.C. 1437u).</t>
        </is>
      </c>
      <c r="F51" s="11" t="inlineStr">
        <is>
          <t>Regulations are at 24 CFR part 984.</t>
        </is>
      </c>
      <c r="G51" s="12" t="inlineStr">
        <is>
          <t>https://www.hud.gov/program_offices/public_indian_housing/programs/hcv/fss</t>
        </is>
      </c>
    </row>
    <row r="52" ht="79.5" customHeight="1">
      <c r="A52" s="10" t="n">
        <v>61</v>
      </c>
      <c r="B52" s="11" t="inlineStr">
        <is>
          <t>Housing Choice Voucher Program</t>
        </is>
      </c>
      <c r="C52" s="11" t="inlineStr">
        <is>
          <t>Public and Indian Housing (PIH) — Public Housing Programs</t>
        </is>
      </c>
      <c r="D52" s="11" t="inlineStr">
        <is>
          <t>Rental subsidies for tenants to rent units in the private market.</t>
        </is>
      </c>
      <c r="E52" s="11" t="inlineStr">
        <is>
          <t>Section 8 of the United States Housing Act of 1937 (42 U.S.C. 1437f).</t>
        </is>
      </c>
      <c r="F52" s="11" t="inlineStr">
        <is>
          <t>Regulations are at 24 CFR part 5 (certain cross-cutting requirements); 24 CFR part 982 (Section 8 Tenant-Based Housing Choice Voucher Program); 24 CFR part 984 (Section 8 and Public Housing Family Self-Sufficiency Program); and 24 CFR part 985 (Section 8 Management Assessment Program (SEMAP)).</t>
        </is>
      </c>
      <c r="G52" s="12" t="inlineStr">
        <is>
          <t>https://www.hud.gov/program_offices/public_indian_housing/programs/hcv/about/</t>
        </is>
      </c>
    </row>
    <row r="53" ht="45.75" customHeight="1">
      <c r="A53" s="10" t="n">
        <v>64</v>
      </c>
      <c r="B53" s="11" t="inlineStr">
        <is>
          <t>Jobs Plus Initiative</t>
        </is>
      </c>
      <c r="C53" s="11" t="inlineStr">
        <is>
          <t>Public and Indian Housing (PIH) — Public Housing Programs</t>
        </is>
      </c>
      <c r="D53" s="11" t="inlineStr">
        <is>
          <t>Competitive grant program to increase earnings and advance employment outcomes for public housing residents.</t>
        </is>
      </c>
      <c r="E53" s="11" t="inlineStr">
        <is>
          <t>The Jobs Plus Initiative is authorized through annual appropriations acts, most recently the Consolidated Appropriations Act, 2024 (Public Law 118-42, approved March 9, 2024).</t>
        </is>
      </c>
      <c r="F53" s="11" t="n"/>
      <c r="G53" s="12" t="inlineStr">
        <is>
          <t>https://www.hud.gov/program_offices/public_indian_housing/jpi</t>
        </is>
      </c>
    </row>
    <row r="54" ht="157.5" customHeight="1">
      <c r="A54" s="10" t="n">
        <v>65</v>
      </c>
      <c r="B54" s="11" t="inlineStr">
        <is>
          <t>Moving to Work (MTW) Demonstration</t>
        </is>
      </c>
      <c r="C54" s="11" t="inlineStr">
        <is>
          <t>Public and Indian Housing (PIH) — Public Housing Programs</t>
        </is>
      </c>
      <c r="D54" s="11" t="inlineStr">
        <is>
          <t>Allows selected PHAs to test new ways of providing housing assistance intended to improve cost-effectiveness, promote self-sufficiency of assisted households, or increase housing choices for low-income families.</t>
        </is>
      </c>
      <c r="E54" s="11" t="inlineStr">
        <is>
          <t>Section 204 of the Omnibus Consolidated Rescissions and Appropriations Act of 1996 (Public Law 104-134, approved April 26, 1996). Additional MTW agencies authorized by section 599H of the Departments of Veterans Affairs and Housing and Urban Development, and Independent Agencies Appropriation Act, 1999 (Public Law 105-276, approved October 21, 1998); section 230 of the Consolidated Appropriations Act, 2008 (Public Law 110-161, approved December 26, 2007); section 232 of the Consolidated Appropriations Act, 2010 (Public Law 111-117, approved December 16, 2009); section 1101 of the Department of Defense and FullYear Continuing Appropriations Act, 2011 (Public Law 112-10, approved April 15, 2011); and section 239 of the Consolidated Appropriations Act, 2016 (Public Law 114-113, approved December 18, 2015).</t>
        </is>
      </c>
      <c r="F54" s="11" t="n"/>
      <c r="G54" s="12" t="inlineStr">
        <is>
          <t>https://www.hud.gov/program_offices/public_indian_housing/programs/ph/mtw</t>
        </is>
      </c>
    </row>
    <row r="55" ht="23.25" customHeight="1">
      <c r="A55" s="10" t="n">
        <v>66</v>
      </c>
      <c r="B55" s="11" t="inlineStr">
        <is>
          <t>Project-Based Voucher Program</t>
        </is>
      </c>
      <c r="C55" s="11" t="inlineStr">
        <is>
          <t>Public and Indian Housing (PIH) — Public Housing Programs</t>
        </is>
      </c>
      <c r="D55" s="11" t="inlineStr">
        <is>
          <t>Rental assistance for eligible families who live in specific housing developments or units.</t>
        </is>
      </c>
      <c r="E55" s="11" t="inlineStr">
        <is>
          <t>Section 8(o)(13) of the United States Housing Act of 1937 (42 U.S.C. 1437f(o)(13)).</t>
        </is>
      </c>
      <c r="F55" s="11" t="inlineStr">
        <is>
          <t>Regulations are at 24 CFR part 983.</t>
        </is>
      </c>
      <c r="G55" s="12" t="inlineStr">
        <is>
          <t>https://www.hud.gov/program_offices/public_indian_housing/programs/hcv/project</t>
        </is>
      </c>
    </row>
    <row r="56" ht="23.25" customHeight="1">
      <c r="A56" s="10" t="n">
        <v>67</v>
      </c>
      <c r="B56" s="11" t="inlineStr">
        <is>
          <t>Public Housing Capital Fund</t>
        </is>
      </c>
      <c r="C56" s="11" t="inlineStr">
        <is>
          <t>Public and Indian Housing (PIH) — Public Housing Programs</t>
        </is>
      </c>
      <c r="D56" s="11" t="inlineStr">
        <is>
          <t>Funding for capital improvements to public housing units.</t>
        </is>
      </c>
      <c r="E56" s="11" t="inlineStr">
        <is>
          <t>Section 9(d) and section 30 of the United States Housing Act of 1937 (42 U.S.C. 1437g(d) and 1437z-2).</t>
        </is>
      </c>
      <c r="F56" s="11" t="inlineStr">
        <is>
          <t>Regulations are at 24 CFR part 905.</t>
        </is>
      </c>
      <c r="G56" s="12" t="inlineStr">
        <is>
          <t>https://www.hud.gov/program_offices/public_indian_housing/programs/ph/capfund</t>
        </is>
      </c>
    </row>
    <row r="57" ht="23.25" customHeight="1">
      <c r="A57" s="10" t="n">
        <v>68</v>
      </c>
      <c r="B57" s="11" t="inlineStr">
        <is>
          <t>Public Housing Homeownership (Section 32)</t>
        </is>
      </c>
      <c r="C57" s="11" t="inlineStr">
        <is>
          <t>Public and Indian Housing (PIH) — Public Housing Programs</t>
        </is>
      </c>
      <c r="D57" s="11" t="inlineStr">
        <is>
          <t>Sale of public housing units to low-income families.</t>
        </is>
      </c>
      <c r="E57" s="11" t="inlineStr">
        <is>
          <t>Section 32 of the United States Housing Act of 1937 (42 U.S.C. 1437z-4).</t>
        </is>
      </c>
      <c r="F57" s="11" t="inlineStr">
        <is>
          <t>Regulations are at 24 CFR part 906.</t>
        </is>
      </c>
      <c r="G57" s="12" t="inlineStr">
        <is>
          <t>https://www.hud.gov/program_offices/public_indian_housing/centers/sac/homeownership/</t>
        </is>
      </c>
    </row>
    <row r="58" ht="34.5" customHeight="1">
      <c r="A58" s="10" t="n">
        <v>69</v>
      </c>
      <c r="B58" s="11" t="inlineStr">
        <is>
          <t>Public Housing Operating Fund</t>
        </is>
      </c>
      <c r="C58" s="11" t="inlineStr">
        <is>
          <t>Public and Indian Housing (PIH) — Public Housing Programs</t>
        </is>
      </c>
      <c r="D58" s="11" t="inlineStr">
        <is>
          <t>Formula funding to public housing agencies (PHAs) for operations and management.</t>
        </is>
      </c>
      <c r="E58" s="11" t="inlineStr">
        <is>
          <t>Section 9(e), section 30, and section 35 of the United States Housing Act of 1937 (42 U.S.C. 1437g(e); 42 U.S.C. 1437z-2; 42 U.S.C. 1437z-7).</t>
        </is>
      </c>
      <c r="F58" s="11" t="inlineStr">
        <is>
          <t>Regulations are at 24 CFR part 990.</t>
        </is>
      </c>
      <c r="G58" s="12" t="inlineStr">
        <is>
          <t>https://www.hud.gov/program_offices/public_indian_housing/programs/ph/am</t>
        </is>
      </c>
    </row>
    <row r="59" ht="23.25" customHeight="1">
      <c r="A59" s="10" t="n">
        <v>70</v>
      </c>
      <c r="B59" s="11" t="inlineStr">
        <is>
          <t>Resident Opportunity and Self-Sufficiency (ROSS) Service Coordinator Program</t>
        </is>
      </c>
      <c r="C59" s="11" t="inlineStr">
        <is>
          <t>Public and Indian Housing (PIH) — Public Housing Programs</t>
        </is>
      </c>
      <c r="D59" s="11" t="inlineStr">
        <is>
          <t>Grants for voluntary supportive services and resident empowerment activities.</t>
        </is>
      </c>
      <c r="E59" s="11" t="inlineStr">
        <is>
          <t>Section 34 of the United States Housing Act of 1937 (42 U.S.C. 1437z-6).</t>
        </is>
      </c>
      <c r="F59" s="11" t="inlineStr">
        <is>
          <t>Regulations are at 24 CFR part 964.</t>
        </is>
      </c>
      <c r="G59" s="12" t="inlineStr">
        <is>
          <t>https://www.hud.gov/program_offices/public_indian_housing/programs/ph/ross/about</t>
        </is>
      </c>
    </row>
    <row r="60" ht="23.25" customHeight="1">
      <c r="A60" s="7" t="n">
        <v>71</v>
      </c>
      <c r="B60" s="8" t="inlineStr">
        <is>
          <t>Indian Community Development Block Grant (ICDBG) Program</t>
        </is>
      </c>
      <c r="C60" s="8" t="inlineStr">
        <is>
          <t>Public and Indian Housing (PIH) — Indian Housing Programs</t>
        </is>
      </c>
      <c r="D60" s="8" t="inlineStr">
        <is>
          <t>Grants to help American Indians and Alaska Natives (AIAN) develop viable communities.</t>
        </is>
      </c>
      <c r="E60" s="8" t="inlineStr">
        <is>
          <t>Title I of the Housing and Community Development Act of 1974 (42 U.S.C. 5301, et seq.).</t>
        </is>
      </c>
      <c r="F60" s="8" t="inlineStr">
        <is>
          <t>Regulations are at 24 CFR part 1003.</t>
        </is>
      </c>
      <c r="G60" s="9" t="inlineStr">
        <is>
          <t>https://www.hud.gov/program_offices/public_indian_housing/ih/grants/icdbg</t>
        </is>
      </c>
    </row>
    <row r="61" ht="23.25" customHeight="1">
      <c r="A61" s="7" t="n">
        <v>72</v>
      </c>
      <c r="B61" s="8" t="inlineStr">
        <is>
          <t>Indian Housing Block Grant (IHBG) Program</t>
        </is>
      </c>
      <c r="C61" s="8" t="inlineStr">
        <is>
          <t>Public and Indian Housing (PIH) — Indian Housing Programs</t>
        </is>
      </c>
      <c r="D61" s="8" t="inlineStr">
        <is>
          <t>Grants that fund a range of affordable housing activities on Indian reservations and in Indian areas.</t>
        </is>
      </c>
      <c r="E61" s="8" t="inlineStr">
        <is>
          <t>Titles I through V of NAHASDA (25 U.S.C. 4101, et seq.).</t>
        </is>
      </c>
      <c r="F61" s="8" t="inlineStr">
        <is>
          <t>Regulations are at 24 CFR part 1000.</t>
        </is>
      </c>
      <c r="G61" s="9" t="inlineStr">
        <is>
          <t>https://www.hud.gov/program_offices/public_indian_housing/ih/grants/ihbg</t>
        </is>
      </c>
    </row>
    <row r="62" ht="23.25" customHeight="1">
      <c r="A62" s="7" t="n">
        <v>73</v>
      </c>
      <c r="B62" s="8" t="inlineStr">
        <is>
          <t>Section 184 Indian Housing Loan Guarantee Program (Section 184)</t>
        </is>
      </c>
      <c r="C62" s="8" t="inlineStr">
        <is>
          <t>Public and Indian Housing (PIH) — Indian Housing Programs</t>
        </is>
      </c>
      <c r="D62" s="8" t="inlineStr">
        <is>
          <t>Insures home mortgages made to American Indian and Alaska Native (AIAN) families, Indian housing authorities, and Indian tribes.</t>
        </is>
      </c>
      <c r="E62" s="8" t="inlineStr">
        <is>
          <t>Section 184 of the Housing and Community Development Act of 1992 (12 U.S.C. 1715z-13a).</t>
        </is>
      </c>
      <c r="F62" s="8" t="inlineStr">
        <is>
          <t>Regulations are at 24 CFR part 1005.</t>
        </is>
      </c>
      <c r="G62" s="9" t="inlineStr">
        <is>
          <t>https://www.hud.gov/program_offices/public_indian_housing/ih/homeownership/184</t>
        </is>
      </c>
    </row>
    <row r="63" ht="23.25" customHeight="1">
      <c r="A63" s="7" t="n">
        <v>74</v>
      </c>
      <c r="B63" s="8" t="inlineStr">
        <is>
          <t>Section 184A Native Hawaiian Housing Loan Guarantee Program (Section 184A)</t>
        </is>
      </c>
      <c r="C63" s="8" t="inlineStr">
        <is>
          <t>Public and Indian Housing (PIH) — Indian Housing Programs</t>
        </is>
      </c>
      <c r="D63" s="8" t="inlineStr">
        <is>
          <t>Insures home mortgages made to Native Hawaiian families living on Hawaiian Home Lands.</t>
        </is>
      </c>
      <c r="E63" s="8" t="inlineStr">
        <is>
          <t>Section 184A of the Housing and Community Development Act of 1992 (12 U.S.C. 1715z-13b).</t>
        </is>
      </c>
      <c r="F63" s="8" t="inlineStr">
        <is>
          <t>Regulations are at 24 CFR part 1007.</t>
        </is>
      </c>
      <c r="G63" s="9" t="inlineStr">
        <is>
          <t>https://www.hud.gov/program_offices/public_indian_housing/ih/codetalk/onap/program184a</t>
        </is>
      </c>
    </row>
    <row r="64" ht="23.25" customHeight="1">
      <c r="A64" s="7" t="n">
        <v>75</v>
      </c>
      <c r="B64" s="8" t="inlineStr">
        <is>
          <t>Native Hawaiian Housing Block Grant (NHHBG) Program</t>
        </is>
      </c>
      <c r="C64" s="8" t="inlineStr">
        <is>
          <t>Public and Indian Housing (PIH) — Indian Housing Programs</t>
        </is>
      </c>
      <c r="D64" s="8" t="inlineStr">
        <is>
          <t>Grants that fund a range of affordable housing activities, including rental assistance both on and off Hawaiian Home Lands.</t>
        </is>
      </c>
      <c r="E64" s="8" t="inlineStr">
        <is>
          <t>Title VIII of the Native American Housing Assistance and Self-Determination Act of 1996 (NAHASDA) (25 U.S.C. 4221, et seq.).</t>
        </is>
      </c>
      <c r="F64" s="8" t="inlineStr">
        <is>
          <t>Regulations are at 24 CFR part 1006.</t>
        </is>
      </c>
      <c r="G64" s="9" t="inlineStr">
        <is>
          <t>https://www.hud.gov/program_offices/public_indian_housing/ih/codetalk/onap/nhhbgprogram</t>
        </is>
      </c>
    </row>
    <row r="65" ht="34.5" customHeight="1">
      <c r="A65" s="7" t="n">
        <v>76</v>
      </c>
      <c r="B65" s="8" t="inlineStr">
        <is>
          <t>Tribal Housing Activities Loan Guarantee Program (Title VI)</t>
        </is>
      </c>
      <c r="C65" s="8" t="inlineStr">
        <is>
          <t>Public and Indian Housing (PIH) — Indian Housing Programs</t>
        </is>
      </c>
      <c r="D65" s="8" t="inlineStr">
        <is>
          <t>Guarantees private loans made to Indian Housing Block Grant recipients that want to finance additional grant-eligible affordable housing and related community development projects.</t>
        </is>
      </c>
      <c r="E65" s="8" t="inlineStr">
        <is>
          <t>Title VI of the Native American Housing Assistance and Self-Determination Act of 1996 (NAHASDA) (25 U.S.C. 4191, et seq.).</t>
        </is>
      </c>
      <c r="F65" s="8" t="inlineStr">
        <is>
          <t>Regulations are at 24 CFR part 1000, subpart E.</t>
        </is>
      </c>
      <c r="G65" s="9" t="inlineStr">
        <is>
          <t>https://www.hud.gov/program_offices/public_indian_housing/ih/homeownership/titlevi</t>
        </is>
      </c>
    </row>
    <row r="66" ht="57" customHeight="1">
      <c r="A66" s="10" t="n">
        <v>77</v>
      </c>
      <c r="B66" s="11" t="inlineStr">
        <is>
          <t>Equal Opportunity and Nondiscrimination Requirements for HUD-Assisted Programs (Title VI, Section 504, Americans with Disabilities Act, Section 109, Age Discrimination Act, and Title IX)</t>
        </is>
      </c>
      <c r="C66" s="11" t="inlineStr">
        <is>
          <t>Fair Housing and Equal Opportunity</t>
        </is>
      </c>
      <c r="D66" s="11" t="inlineStr">
        <is>
          <t>(Title VI, Section 504, Americans with Disabilities Act, Section 109, Age Discrimination Act, and Title IX) Prohibits discrimination and requires equal opportunity to participate in and benefit from HUDassisted programs or activities.</t>
        </is>
      </c>
      <c r="E66" s="11" t="n"/>
      <c r="F66" s="11" t="n"/>
      <c r="G66" s="12" t="inlineStr">
        <is>
          <t>https://www.hud.gov/program_offices/fair_housing_equal_opp</t>
        </is>
      </c>
    </row>
    <row r="67" ht="45.75" customHeight="1">
      <c r="A67" s="10" t="n">
        <v>80</v>
      </c>
      <c r="B67" s="11" t="inlineStr">
        <is>
          <t>Fair Housing Act (Title VIII)</t>
        </is>
      </c>
      <c r="C67" s="11" t="inlineStr">
        <is>
          <t>Fair Housing and Equal Opportunity</t>
        </is>
      </c>
      <c r="D67" s="11" t="inlineStr">
        <is>
          <t>Prohibits discrimination in housing and real estate-related transactions and includes an affirmative obligation to administer all federal programs relating to housing and urban development in a manner that affirmatively furthers fair housing.</t>
        </is>
      </c>
      <c r="E67" s="11" t="inlineStr">
        <is>
          <t>Title VIII of the Civil Rights Act of 1968 (42 U.S.C. 3601 et seq.).</t>
        </is>
      </c>
      <c r="F67" s="11" t="inlineStr">
        <is>
          <t>Regulations are at 24 CFR parts 5, 100, 103, and 180.</t>
        </is>
      </c>
      <c r="G67" s="12" t="inlineStr">
        <is>
          <t>https://www.hud.gov/program_offices/fair_housing_equal_opp/fair_housing_act_overview</t>
        </is>
      </c>
    </row>
    <row r="68" ht="34.5" customHeight="1">
      <c r="A68" s="10" t="n">
        <v>82</v>
      </c>
      <c r="B68" s="11" t="inlineStr">
        <is>
          <t>Fair Housing Assistance Program (FHAP)</t>
        </is>
      </c>
      <c r="C68" s="11" t="inlineStr">
        <is>
          <t>Fair Housing and Equal Opportunity</t>
        </is>
      </c>
      <c r="D68" s="11" t="inlineStr">
        <is>
          <t>Funding to provide assistance and reimbursements to State and local fair housing enforcement agencies that enforce fair housing laws that are substantially equivalent to the Fair Housing Act.</t>
        </is>
      </c>
      <c r="E68" s="11" t="inlineStr">
        <is>
          <t>Sections 810(f) and 817 of the Civil Rights Act of 1968 (42 U.S.C. 3610; 42 U.S.C. 3616).</t>
        </is>
      </c>
      <c r="F68" s="11" t="inlineStr">
        <is>
          <t>Regulations are at 24 CFR part 115.</t>
        </is>
      </c>
      <c r="G68" s="12" t="inlineStr">
        <is>
          <t>https://www.hud.gov/program_offices/fair_housing_equal_opp/partners/FHAP</t>
        </is>
      </c>
    </row>
    <row r="69" ht="34.5" customHeight="1">
      <c r="A69" s="10" t="n">
        <v>83</v>
      </c>
      <c r="B69" s="11" t="inlineStr">
        <is>
          <t>Fair Housing Initiatives Program (FHIP)</t>
        </is>
      </c>
      <c r="C69" s="11" t="inlineStr">
        <is>
          <t>Fair Housing and Equal Opportunity</t>
        </is>
      </c>
      <c r="D69" s="11" t="inlineStr">
        <is>
          <t>Grants to public and private entities formulating or carrying out programs to prevent or eliminate discriminatory housing practices against all protected class groups under the Federal Fair Housing Act.</t>
        </is>
      </c>
      <c r="E69" s="11" t="inlineStr">
        <is>
          <t>Section 561 of the Housing and Community Development Act of 1987 (42 U.S.C. 3616a).</t>
        </is>
      </c>
      <c r="F69" s="11" t="inlineStr">
        <is>
          <t>Regulations are at 24 CFR part 125.</t>
        </is>
      </c>
      <c r="G69" s="12" t="inlineStr">
        <is>
          <t>https://www.hud.gov/program_offices/fair_housing_equal_opp/partners/FHIP/fhip</t>
        </is>
      </c>
    </row>
    <row r="70" ht="23.25" customHeight="1">
      <c r="A70" s="7" t="n">
        <v>85</v>
      </c>
      <c r="B70" s="8" t="inlineStr">
        <is>
          <t>Policy Development and Research Initiatives</t>
        </is>
      </c>
      <c r="C70" s="8" t="inlineStr">
        <is>
          <t>Policy Development and Research (PD&amp;R)</t>
        </is>
      </c>
      <c r="D70" s="8" t="inlineStr">
        <is>
          <t>Supports the Department's efforts to help create cohesive, economically healthy communities by providing reliable and objective data and analysis.</t>
        </is>
      </c>
      <c r="E70" s="8" t="inlineStr">
        <is>
          <t>Title V of the Housing and Urban Development Act of 1970 (12 U.S.C. 1701z-1, et seq.).</t>
        </is>
      </c>
      <c r="F70" s="8" t="n"/>
      <c r="G70" s="9" t="inlineStr">
        <is>
          <t>https://www.huduser.gov/portal/about/pdrabout.html</t>
        </is>
      </c>
    </row>
    <row r="71" ht="135.75" customHeight="1">
      <c r="A71" s="7" t="n">
        <v>86</v>
      </c>
      <c r="B71" s="8" t="inlineStr">
        <is>
          <t>Community Compass Technical Assistance and Capacity Building Program</t>
        </is>
      </c>
      <c r="C71" s="8" t="inlineStr">
        <is>
          <t>Policy Development and Research (PD&amp;R)</t>
        </is>
      </c>
      <c r="D71" s="8" t="inlineStr">
        <is>
          <t>Awards funding to technical assistance providers to help HUD’s customers implement HUD programs and policies. Nature of program: This initiative competitively awards technical assistance funding from across HUD program offices to organizations to provide technical assistance and capacity building for HUD grantees and other customers. Eligible activities for Community Compass include the following: (1) needs assessments; (2) direct technical assistance and capacity-building engagements; (3) development of products and tools; (4) self-directed and group learning (training); (5) knowledge management; (6) data reporting, analysis, and performance management; (7) Native American Housing Assistance and Self-Determination Act (NAHASDA) allocation formula administration and negotiated rulemaking support; (8) coordination; and (9) administration.</t>
        </is>
      </c>
      <c r="E71" s="8" t="inlineStr">
        <is>
          <t>Section 6(j)(3) of the United States Housing Act of 1937 (42 U.S.C. 1437d(j)(3)); sections 405 and 491 of the McKinney-Vento Homeless Assistance Act (42 U.S.C. 11361b and 11408) and Public Law 117-43 for CDBG-DR. Community Compass is further authorized and funded through annual and supplemental appropriations, most recently through the Consolidated Appropriations Act, 2024 (Public Law 118-42, approved March 9, 2024).</t>
        </is>
      </c>
      <c r="F71" s="8" t="n"/>
      <c r="G71" s="9" t="inlineStr">
        <is>
          <t>https://www.huduser.gov/portal/ota/community-compass.html</t>
        </is>
      </c>
    </row>
    <row r="72" ht="34.5" customHeight="1">
      <c r="A72" s="7" t="n">
        <v>87</v>
      </c>
      <c r="B72" s="8" t="inlineStr">
        <is>
          <t>Distressed Cities and Persistent Poverty Technical Assistance (DCTA) Program</t>
        </is>
      </c>
      <c r="C72" s="8" t="inlineStr">
        <is>
          <t>Policy Development and Research (PD&amp;R)</t>
        </is>
      </c>
      <c r="D72" s="8" t="inlineStr">
        <is>
          <t>Builds the capacity of units of general local government (local governments) experiencing economic distress and assists local governments and their nonprofit partners in alleviating persistent poverty in specific areas (census tracts).</t>
        </is>
      </c>
      <c r="E72" s="8" t="inlineStr">
        <is>
          <t>Authorized by annual Appropriations Acts, most recently by the Consolidated Appropriations Act,2024 (Public Law 118-42, approved March 9, 2024).</t>
        </is>
      </c>
      <c r="F72" s="8" t="n"/>
      <c r="G72" s="9" t="inlineStr">
        <is>
          <t>https://www.huduser.gov/portal/ota/distressed-cities-and-persistant-poverty-taprogram.html</t>
        </is>
      </c>
    </row>
    <row r="73" ht="34.5" customHeight="1">
      <c r="A73" s="7" t="n">
        <v>88</v>
      </c>
      <c r="B73" s="8" t="inlineStr">
        <is>
          <t>Thriving Communities Technical Assistance Program</t>
        </is>
      </c>
      <c r="C73" s="8" t="inlineStr">
        <is>
          <t>Policy Development and Research (PD&amp;R)</t>
        </is>
      </c>
      <c r="D73" s="8" t="inlineStr">
        <is>
          <t>Helps local governments ensure housing needs are considered as part of their larger infrastructure investment plans and supports equitable development in disadvantaged communities.</t>
        </is>
      </c>
      <c r="E73" s="8" t="inlineStr">
        <is>
          <t>Authorized by annual Appropriations Acts, most recently by the Consolidated Appropriations Act, 2024 (Public Law 118-42, approved March 9, 2024).</t>
        </is>
      </c>
      <c r="F73" s="8" t="n"/>
      <c r="G73" s="9" t="inlineStr">
        <is>
          <t>https://www.huduser.gov/portal/ota/thriving-communities-ta-program.html</t>
        </is>
      </c>
    </row>
    <row r="74" ht="34.5" customHeight="1">
      <c r="A74" s="7" t="n">
        <v>89</v>
      </c>
      <c r="B74" s="8" t="inlineStr">
        <is>
          <t>Eviction Protection Grant Program (EPGP)</t>
        </is>
      </c>
      <c r="C74" s="8" t="inlineStr">
        <is>
          <t>Policy Development and Research (PD&amp;R)</t>
        </is>
      </c>
      <c r="D74" s="8" t="inlineStr">
        <is>
          <t>Aims to help fill the gap in access to legal assistance experienced by individuals and families facing eviction to help them reach more mutually beneficial resolutions with landlords or defend against illegal evictions.</t>
        </is>
      </c>
      <c r="E74" s="8" t="inlineStr">
        <is>
          <t>Authorized by annual Appropriations Acts, most recently by the Consolidated Appropriations Act, 2024 (Public Law 118-42, approved March 9, 2024).</t>
        </is>
      </c>
      <c r="F74" s="8" t="n"/>
      <c r="G74" s="9" t="inlineStr">
        <is>
          <t>https://www.huduser.gov/portal/eviction-protection-grant.html</t>
        </is>
      </c>
    </row>
    <row r="75" ht="45.75" customHeight="1">
      <c r="A75" s="10" t="n">
        <v>90</v>
      </c>
      <c r="B75" s="11" t="inlineStr">
        <is>
          <t>Davis-Bacon and Labor Standards</t>
        </is>
      </c>
      <c r="C75" s="11" t="inlineStr">
        <is>
          <t>Field Policy and Management (FPM)</t>
        </is>
      </c>
      <c r="D75" s="11" t="inlineStr">
        <is>
          <t>Oversight of administration and enforcement of Federal labor standards provisions in HUD programs.</t>
        </is>
      </c>
      <c r="E75" s="11" t="inlineStr">
        <is>
          <t>Davis-Bacon Act (40 U.S.C. 3141, et seq.); Fair Labor Standards Act of 1938 (29 U.S.C. 201, et seq.); Contract Work Hours and Safety Standards Act (40 U.S.C. 3701, et seq.); Copeland Anti-Kickback Act (18 U.S.C. 874; 40 U.S.C. 3145).</t>
        </is>
      </c>
      <c r="F75" s="11" t="n"/>
      <c r="G75" s="12" t="inlineStr">
        <is>
          <t>https://www.hud.gov/program_offices/davis_bacon_and_labor_standards</t>
        </is>
      </c>
    </row>
    <row r="76" ht="23.25" customHeight="1">
      <c r="A76" s="10" t="n">
        <v>91</v>
      </c>
      <c r="B76" s="11" t="inlineStr">
        <is>
          <t>Economic Opportunities for Low- and Very-Low Income Persons (Section 3)</t>
        </is>
      </c>
      <c r="C76" s="11" t="inlineStr">
        <is>
          <t>Field Policy and Management (FPM)</t>
        </is>
      </c>
      <c r="D76" s="11" t="inlineStr">
        <is>
          <t>Fosters local economic development, job opportunities, and self-sufficiency.</t>
        </is>
      </c>
      <c r="E76" s="11" t="inlineStr">
        <is>
          <t>Section 3 of the Housing and Urban Development Act of 1968 (12 U.S.C. 1701u).</t>
        </is>
      </c>
      <c r="F76" s="11" t="inlineStr">
        <is>
          <t>Regulations are at 24 CFR part 75.</t>
        </is>
      </c>
      <c r="G76" s="12" t="inlineStr">
        <is>
          <t>https://www.hud.gov/section3</t>
        </is>
      </c>
    </row>
    <row r="77" ht="23.25" customHeight="1">
      <c r="A77" s="7" t="n">
        <v>92</v>
      </c>
      <c r="B77" s="8" t="inlineStr">
        <is>
          <t>Ginnie Mae Single-Class Mortgage-Backed Securities</t>
        </is>
      </c>
      <c r="C77" s="8" t="inlineStr">
        <is>
          <t>Government National Mortgage Association (Ginnie Mae)</t>
        </is>
      </c>
      <c r="D77" s="8" t="inlineStr">
        <is>
          <t>Guarantees timely payments on securities backed by government-insured mortgages.</t>
        </is>
      </c>
      <c r="E77" s="8" t="inlineStr">
        <is>
          <t>Section 306(g) of the National Housing Act (12 U.S.C. 1721(g)).</t>
        </is>
      </c>
      <c r="F77" s="8" t="inlineStr">
        <is>
          <t>Regulations are at 24 CFR part 320.</t>
        </is>
      </c>
      <c r="G77" s="9" t="inlineStr">
        <is>
          <t>https://www.ginniemae.gov/about_us/what_we_do/Pages/programs_products.aspx</t>
        </is>
      </c>
    </row>
    <row r="78" ht="34.5" customHeight="1">
      <c r="A78" s="7" t="n">
        <v>93</v>
      </c>
      <c r="B78" s="8" t="inlineStr">
        <is>
          <t>Ginnie Mae Multiclass Securities</t>
        </is>
      </c>
      <c r="C78" s="8" t="inlineStr">
        <is>
          <t>Government National Mortgage Association (Ginnie Mae)</t>
        </is>
      </c>
      <c r="D78" s="8" t="inlineStr">
        <is>
          <t>Guarantees the timely payment of principal and interest on multiclass securities backed by government-insured mortgages as provided by the terms of the multiclass security.</t>
        </is>
      </c>
      <c r="E78" s="8" t="inlineStr">
        <is>
          <t>Section 306(g) of the National Housing Act (12 U.S.C. 1721(g)).</t>
        </is>
      </c>
      <c r="F78" s="8" t="inlineStr">
        <is>
          <t>Regulations are at 24 CFR part 330.</t>
        </is>
      </c>
      <c r="G78" s="9" t="inlineStr">
        <is>
          <t>https://www.ginniemae.gov/investors/multiclass_resources/Pages/multiclass-securitiesguide.aspx</t>
        </is>
      </c>
    </row>
    <row r="79" ht="68.25" customHeight="1">
      <c r="A79" s="10" t="n">
        <v>95</v>
      </c>
      <c r="B79" s="11" t="inlineStr">
        <is>
          <t>Lead Hazard Control and Healthy Homes Program</t>
        </is>
      </c>
      <c r="C79" s="11" t="inlineStr">
        <is>
          <t>Lead Hazard Control and Healthy Homes Program</t>
        </is>
      </c>
      <c r="D79" s="11" t="inlineStr">
        <is>
          <t>address housing-related health and safety hazards; demonstration projects and research, outreach and education related to lead hazard control and healthy homes issues; enforcement of the Lead Safe Housing Rule and the Lead Disclosure Rule.</t>
        </is>
      </c>
      <c r="E79" s="11" t="inlineStr">
        <is>
          <t> Lead-Based Paint Poisoning Prevention Act (42 U.S.C. 4821, et seq.);  Residential Lead-Based Paint Hazard Reduction Act of 1992 (Title X of the Housing and Community Development Act of 1992; 42 U.S.C. 4851, et seq.);  Sections 501 and 502 of the Housing and Urban Development Act of 1970 (12 U.S.C. 1701z-1 and 1701z-2).</t>
        </is>
      </c>
      <c r="F79" s="11" t="inlineStr">
        <is>
          <t>Regulations are at 24 CFR part 35.</t>
        </is>
      </c>
      <c r="G79" s="12" t="inlineStr">
        <is>
          <t>https://www.hud.gov/program_offices/healthy_homes</t>
        </is>
      </c>
    </row>
    <row r="80" ht="168.75" customHeight="1">
      <c r="A80" s="7" t="n">
        <v>97</v>
      </c>
      <c r="B80" s="8" t="inlineStr">
        <is>
          <t>Low Income Housing Tax Credit Pilot (Tax Credit Pilot)</t>
        </is>
      </c>
      <c r="C80" s="8" t="inlineStr">
        <is>
          <t>Temporary Programs — HERA (Public Law 110-289)</t>
        </is>
      </c>
      <c r="D80" s="8" t="inlineStr">
        <is>
          <t>HERA established a pilot program to streamline the review process for FHA mortgage insurance applications for projects with equity from the Low-Income Housing Tax Credit (LIHTC) program. In 2012, FHA launched the pilot program to refinance mortgage debt under FHA’s Section 223(f) program on transactions that would receive LIHTC equity. On February 21, 2019, FHA announced the expansion of the pilot program (Mortgagee Letter 2019-03 and Notice: H 2019-03) to include new construction and substantial rehabilitation projects under its Section 221(d)(4) and Section 220 programs. The expanded pilot program continues FHA’s effort to ensure faster and more efficient processing for low-risk, LIHTC transactions by eliminating redundant reviews. FHA multifamily transactions with LIHTCs account for approximately 30 percent of FHA’s total multifamily volume. By aligning FHA’s Section 221(d)(4) and Section 220 programs with the LIHTC program, the Department anticipated and has realized more production and preservation of critically needed affordable multifamily housing. LIHTCs are codified at 26 U.S.C. 42.</t>
        </is>
      </c>
      <c r="E80" s="8" t="n"/>
      <c r="F80" s="8" t="n"/>
      <c r="G80" s="9" t="inlineStr">
        <is>
          <t>https://www.hud.gov/program_offices/housing/mfh/map/maphome/taxcredit</t>
        </is>
      </c>
    </row>
    <row r="81" ht="213.75" customHeight="1">
      <c r="A81" s="10" t="n">
        <v>97</v>
      </c>
      <c r="B81" s="11" t="inlineStr">
        <is>
          <t>Rental Assistance Demonstration (RAD)</t>
        </is>
      </c>
      <c r="C81" s="11" t="inlineStr">
        <is>
          <t>Temporary Programs — Consolidated and Further Continuing Appropriations Act, 2012</t>
        </is>
      </c>
      <c r="D81" s="11" t="inlineStr">
        <is>
          <t>The Consolidated and Further Continuing Appropriations Act, 2012 authorized the creation of a demonstration designed to preserve and improve public housing and certain other multifamily housing through the voluntary conversion of properties assisted under section 9 of the United States Housing Act of 1937 (public housing), the Moderate Rehabilitation Program (Mod Rehab), the Rent Supplement Program (Rent Supp), and the Rental Assistance Program (RAP), to assistance under a project-based subsidy contract under section 8 of the 1937 Act. Subsequent legislation authorized the voluntary conversion of the Section 202 and 811 Project Rental Assistance Contract (202 PRAC and 811 PRAC) programs. The program has a competitive component and a non-competitive component, but no new funding is appropriated for these conversions. The competitive component allows conversion of a maximum number of units from the Section 9 account (for public housing conversions) or from the Project-Based Rental Assistance (PBRA) account (amounts appropriated for mod rehab) for Mod Rehab conversion to long-term Section 8 rental assistance contracts or project-based voucher contracts. The conversions are administered by public housing agencies and other qualified entities. The non-competitive component allows Mod Rehab and 202 PRAC property owners to convert assistance to long-term Section 8 rental assistance contracts or project-based voucher contracts.</t>
        </is>
      </c>
      <c r="E81" s="11" t="n"/>
      <c r="F81" s="11" t="n"/>
      <c r="G81" s="12" t="inlineStr">
        <is>
          <t>http://www.hud.gov/rad</t>
        </is>
      </c>
    </row>
    <row r="82" ht="135.75" customHeight="1">
      <c r="A82" s="7" t="n">
        <v>98</v>
      </c>
      <c r="B82" s="8" t="inlineStr">
        <is>
          <t>Tribal HUD-VASH</t>
        </is>
      </c>
      <c r="C82" s="8" t="inlineStr">
        <is>
          <t>Temporary Programs — Consolidated and Further Continuing Appropriations Act, 2015</t>
        </is>
      </c>
      <c r="D82" s="8" t="inlineStr">
        <is>
          <t>The Tribal HUD-Veterans Affairs Supportive Housing program (Tribal HUD-VASH) provides rental assistance and supportive services to Native American veterans who are homeless or at risk of homelessness living on or near a reservation or other Indian areas. HUD provides grants to eligible Tribes and Tribally Designated Housing Entities (TDHEs), which partner with the U.S. Department of Veterans Affairs to provide case management and services to eligible Native American veterans. Housing assistance is either tenant-based or project-based and is made available by grants to Tribes and TDHEs that are eligible to receive Indian Housing Block Grant funding under the Native American Housing Assistance and Self-Determination Act of 1996. This program is funded through annual appropriations acts, most recently through the Consolidated Appropriations Act, 2024 (Public Law 118-42, approved March 9, 2024).</t>
        </is>
      </c>
      <c r="E82" s="8" t="n"/>
      <c r="F82" s="8" t="n"/>
      <c r="G82" s="9" t="inlineStr">
        <is>
          <t>https://www.hud.gov/program_offices/public_indian_housing/ih/tribalhudvash</t>
        </is>
      </c>
    </row>
    <row r="83" ht="147" customHeight="1">
      <c r="A83" s="10" t="n">
        <v>98</v>
      </c>
      <c r="B83" s="11" t="inlineStr">
        <is>
          <t>Youth Homelessness Demonstration Program</t>
        </is>
      </c>
      <c r="C83" s="11" t="inlineStr">
        <is>
          <t>Temporary Programs — Consolidated Appropriations Act, 2016</t>
        </is>
      </c>
      <c r="D83" s="11" t="inlineStr">
        <is>
          <t>The Youth Homelessness Demonstration Program (YHDP) aims to both demonstrate how a comprehensive approach to serving youth, age 24 and under, who are experiencing homelessness can reduce the number of youths experiencing homelessness and to try new strategies for serving youth experiencing homelessness. This is done by providing grants to States, counties, cities, townships, and nonprofits on a competitive basis through a notice of funding opportunity (NOFO) in which HUD selects communities for participation. Recipients are to serve youth experiencing homelessness, age 24 and under, including unaccompanied and pregnant or parenting youth, by developing and implementing a community plan to prevent and end youth homelessness. This program is funded through annual appropriations acts, most recently through the Consolidated Appropriations Act, 2024 (Public Law 118-42, approved March 9, 2024).</t>
        </is>
      </c>
      <c r="E83" s="11" t="n"/>
      <c r="F83" s="11" t="n"/>
      <c r="G83" s="12" t="inlineStr">
        <is>
          <t>https://www.hud.gov/program_offices/comm_planning/yhdp</t>
        </is>
      </c>
    </row>
    <row r="84" ht="213.75" customHeight="1">
      <c r="A84" s="7" t="n">
        <v>99</v>
      </c>
      <c r="B84" s="8" t="inlineStr">
        <is>
          <t>Mobility Demonstration (Community Choice Demonstration)</t>
        </is>
      </c>
      <c r="C84" s="8" t="inlineStr">
        <is>
          <t>Temporary Programs — Consolidated Appropriations Act, 2019</t>
        </is>
      </c>
      <c r="D84" s="8" t="inlineStr">
        <is>
          <t>The Community Choice Demonstration (CCD), formerly known as the HCV Mobility Demonstration, builds upon recent research that shows growing up in neighborhoods with lower levels of poverty improves children’s academic achievement and long-term chances of success and reduces intergenerational poverty. The CCD supports selected PHAs in addressing barriers to accessing housing choices by offering housing mobility-related services to increase the number of voucher families with children living in opportunity areas. Through October 2028, these PHA sites will provide housing mobility-related services to approximately 9,400 families. In addition to offering housing mobility-related services, participating PHAs work together in their regions to adopt administrative policies that further enable housing mobility, increase landlord participation, and reduce barriers for families to move across PHA jurisdictions through portability. The CCD includes a rigorous, independent evaluation to determine what services are most effective at helping families move to opportunity areas. HUD also intends to make materials developed for the Demonstration available to all PHAs for use in their own communities. The Consolidated Appropriations Act, 2019 (Public Law 116-6, approved February 15, 2019) (providing initial funding), and the Further Consolidated Appropriations Act, 2020 (Public Law 116-94, approved December 20, 2019) (expanding CCD).</t>
        </is>
      </c>
      <c r="E84" s="8" t="n"/>
      <c r="F84" s="8" t="n"/>
      <c r="G84" s="9" t="inlineStr">
        <is>
          <t>https://www.hud.gov/program_offices/public_indian_housing/programs/hcv/communitychoicede</t>
        </is>
      </c>
    </row>
    <row r="85" ht="213.75" customHeight="1">
      <c r="A85" s="10" t="n">
        <v>99</v>
      </c>
      <c r="B85" s="11" t="inlineStr">
        <is>
          <t>Recovery Housing Program (RHP)</t>
        </is>
      </c>
      <c r="C85" s="11" t="inlineStr">
        <is>
          <t>Temporary Programs — Further Consolidated Appropriations Act, 2020</t>
        </is>
      </c>
      <c r="D85" s="11" t="inlineStr">
        <is>
          <t>The Recovery Housing Program (RHP) is a pilot program, authorized by Section 8071 of the SUPPORT for Patients and Communities Act (“SUPPORT Act”), that provides stable, temporary housing to individuals in recovery from a substance use disorder. The assistance is limited, per individual, to a period of not more than two years or until the individual secures permanent housing, whichever is earlier. The SUPPORT Act requires amounts appropriated or amounts otherwise made available to RHP grantees (states and the District of Columbia) be treated as CDBG funds under title I of the Housing and Community Development Act of 1974 (42 U.S.C. 5301, et seq.) (the “HCD Act”), unless otherwise provided in Section 8071 or modified by waivers and alternative requirements published in the Federal Register. HUD published two Federal Register notices describing the program rules, waivers, and alternative requirements applicable for RHP grantees and activities: 1) FY2020 Notice published on November 25, 2020 and 2) FY2021 Notice published on July 21, 2021. HUD distributes amounts appropriated for RHP in accordance with the SUPPORT Act and the Federal Register notice published on April 17, 2019, entitled “SUPPORT for Patients and Communities Act; Establishment of Funding Formula” (84 FR 16027). This program is funded through annual appropriations acts, most recently through the Consolidated Appropriations Act, 2024 (Public Law 118-42, approved March 9, 2024).</t>
        </is>
      </c>
      <c r="E85" s="11" t="n"/>
      <c r="F85" s="11" t="n"/>
      <c r="G85" s="12" t="inlineStr">
        <is>
          <t>https://www.hud.gov/program_offices/comm_planning/rhp</t>
        </is>
      </c>
    </row>
    <row r="86" ht="45.75" customHeight="1">
      <c r="A86" s="7" t="n">
        <v>100</v>
      </c>
      <c r="B86" s="8" t="inlineStr">
        <is>
          <t>American Rescue Plan Act of 2021</t>
        </is>
      </c>
      <c r="C86" s="8" t="inlineStr">
        <is>
          <t>Temporary Programs — American Rescue Plan Act of 2021</t>
        </is>
      </c>
      <c r="D86" s="8" t="inlineStr">
        <is>
          <t>The American Rescue Plan Act of 2021 (the “ARP Act”) includes supplemental appropriations to numerous HUD programs to address the continued impact of COVID-19. The ARP Act provided the following funds for HUD and HUD programs: </t>
        </is>
      </c>
      <c r="E86" s="8" t="n"/>
      <c r="F86" s="8" t="n"/>
      <c r="G86" s="8" t="n"/>
    </row>
    <row r="87" ht="157.5" customHeight="1">
      <c r="A87" s="10" t="n">
        <v>101</v>
      </c>
      <c r="B87" s="11" t="inlineStr">
        <is>
          <t>Green and Resilient Retrofit Program (GRRP)</t>
        </is>
      </c>
      <c r="C87" s="11" t="inlineStr">
        <is>
          <t>Temporary Programs — Inflation Reduction Act (IRA)</t>
        </is>
      </c>
      <c r="D87" s="11" t="inlineStr">
        <is>
          <t>GRRP provides owners of HUD-assisted multifamily housing with capital resources to reduce carbon emissions, make utility efficiency improvements, incorporate renewable energy sources, and make properties more resilient against the effects of climate hazards. HUD has three paths (cohorts) of funding available to meet the needs of properties at all stages of redevelopment. The first funding path, Elements awards, provides funding for owners to include proven and meaningful climate resilience and utility efficiency measures in projects that are already in the process of a recapitalization transaction. The second path, Leading Edge awards, provides funding for ambitious retrofit activities to achieve an advanced green certification. This is geared toward properties in the planning stages of a recapitalization effort. The final funding path, Comprehensive awards, provides funding to properties with the highest need for climate resilience and utility efficiency upgrades, regardless of prior development or environmental retrofit experience.</t>
        </is>
      </c>
      <c r="E87" s="11" t="n"/>
      <c r="F87" s="11" t="n"/>
      <c r="G87" s="12" t="inlineStr">
        <is>
          <t>https://www.hud.gov/GRRP</t>
        </is>
      </c>
    </row>
    <row r="88" ht="102" customHeight="1">
      <c r="A88" s="7" t="n">
        <v>101</v>
      </c>
      <c r="B88" s="8" t="inlineStr">
        <is>
          <t>Preservation And Reinvestment Initiative for Community Enhancement (PRICE)</t>
        </is>
      </c>
      <c r="C88" s="8" t="inlineStr">
        <is>
          <t>Temporary Programs — Consolidated Appropriations Act, 2023</t>
        </is>
      </c>
      <c r="D88" s="8" t="inlineStr">
        <is>
          <t>The Consolidated Appropriations Act, 2023, created competitive grants to “preserve and revitalize manufactured housing and eligible manufactured housing communities.” The Appropriations Act limited grant recipients to States, units of general local government, residentowned manufactured housing communities, cooperatives, nonprofit entities including consortia of nonprofit entities, community development financial institutions, Indian tribes, or other entities approved by the Secretary. This program was most recently funded through the Consolidated Appropriations Act, 2024 (Public Law 118-42, approved March 9, 2024).</t>
        </is>
      </c>
      <c r="E88" s="8" t="n"/>
      <c r="F88" s="8" t="n"/>
      <c r="G88" s="9" t="inlineStr">
        <is>
          <t>https://www.hud.gov/program_offices/comm_planning/price</t>
        </is>
      </c>
    </row>
    <row r="89" ht="90.75" customHeight="1">
      <c r="A89" s="7" t="n">
        <v>101</v>
      </c>
      <c r="B89" s="8" t="inlineStr">
        <is>
          <t>Pathways to Removing Obstacles to Housing (PRO Housing)</t>
        </is>
      </c>
      <c r="C89" s="8" t="inlineStr">
        <is>
          <t>Temporary Programs — Consolidated Appropriations Act, 2023</t>
        </is>
      </c>
      <c r="D89" s="8" t="inlineStr">
        <is>
          <t>The Consolidated Appropriations Act, 2023, created competitive grants to State and local governments, metropolitan planning organizations, and multijurisdictional entities for the identification and removal of barriers to affordable housing production and preservation through activities intended to further develop, evaluate, and implement housing policy plans, improve housing strategies, and facilitate affordable housing production and preservation. The Consolidated Appropriations Act, 2024 (Public Law 118-42, approved March 9, 2024) provided further funding.</t>
        </is>
      </c>
      <c r="E89" s="8" t="n"/>
      <c r="F89" s="8" t="n"/>
      <c r="G89" s="9" t="inlineStr">
        <is>
          <t>https://www.hud.gov/program_offices/comm_planning/pro_housing</t>
        </is>
      </c>
    </row>
    <row r="90" ht="23.25" customHeight="1">
      <c r="A90" s="10" t="n">
        <v>102</v>
      </c>
      <c r="B90" s="11" t="inlineStr">
        <is>
          <t>NeighborWorks America</t>
        </is>
      </c>
      <c r="C90" s="11" t="inlineStr">
        <is>
          <t>Related Agencies</t>
        </is>
      </c>
      <c r="D90" s="11" t="inlineStr">
        <is>
          <t>Provides financial support, technical assistance, and training for community-based revitalization efforts.</t>
        </is>
      </c>
      <c r="E90" s="11" t="inlineStr">
        <is>
          <t>Title VI of the Housing and Community Development Amendments of 1978 Act (42 U.S.C. 8101, et seq.).</t>
        </is>
      </c>
      <c r="F90" s="11" t="n"/>
      <c r="G90" s="12" t="inlineStr">
        <is>
          <t>http://www.neighborworks.org</t>
        </is>
      </c>
    </row>
    <row r="91" ht="23.25" customHeight="1">
      <c r="A91" s="10" t="n">
        <v>103</v>
      </c>
      <c r="B91" s="11" t="inlineStr">
        <is>
          <t>U.S. Interagency Council on Homelessness</t>
        </is>
      </c>
      <c r="C91" s="11" t="inlineStr">
        <is>
          <t>Related Agencies</t>
        </is>
      </c>
      <c r="D91" s="11" t="inlineStr">
        <is>
          <t>Promotes and coordinates the Federal response to homelessness and national partnerships that work to reduce and end homelessness.</t>
        </is>
      </c>
      <c r="E91" s="11" t="inlineStr">
        <is>
          <t>Title II of the McKinney-Vento Homeless Assistance Act (42 U.S.C. 11311, et seq.).</t>
        </is>
      </c>
      <c r="F91" s="11" t="n"/>
      <c r="G91" s="12" t="inlineStr">
        <is>
          <t>https://www.usich.gov/</t>
        </is>
      </c>
    </row>
    <row r="92" ht="45.75" customHeight="1">
      <c r="A92" s="7" t="n">
        <v>104</v>
      </c>
      <c r="B92" s="8" t="inlineStr">
        <is>
          <t>EnVision Center Demonstration</t>
        </is>
      </c>
      <c r="C92" s="8" t="inlineStr">
        <is>
          <t>Inactive Programs — Office of the Secretary</t>
        </is>
      </c>
      <c r="D92" s="8" t="inlineStr">
        <is>
          <t>A pilot program for public-private collaboration to improve educational and employment opportunities, health outcomes, and community participation of HUD-assisted households. HUD has not accepted new applications under this program since January 2021.</t>
        </is>
      </c>
      <c r="E92" s="8" t="n"/>
      <c r="F92" s="8" t="n"/>
      <c r="G92" s="8" t="n"/>
    </row>
    <row r="93" ht="23.25" customHeight="1">
      <c r="A93" s="10" t="n">
        <v>104</v>
      </c>
      <c r="B93" s="11" t="inlineStr">
        <is>
          <t>Community Development Block Grant CARES Act (CDBG-CV)</t>
        </is>
      </c>
      <c r="C93" s="11" t="inlineStr">
        <is>
          <t>Inactive Programs — Community Planning and Development</t>
        </is>
      </c>
      <c r="D93" s="11" t="inlineStr">
        <is>
          <t>Grants to states, insular areas, and local governments to prevent, prepare for, and respond to the spread of COVID-19.</t>
        </is>
      </c>
      <c r="E93" s="11" t="n"/>
      <c r="F93" s="11" t="n"/>
      <c r="G93" s="11" t="n"/>
    </row>
    <row r="94" ht="23.25" customHeight="1">
      <c r="A94" s="10" t="n">
        <v>104</v>
      </c>
      <c r="B94" s="11" t="inlineStr">
        <is>
          <t>Economic Development Initiative (“Competitive EDI”) Grants</t>
        </is>
      </c>
      <c r="C94" s="11" t="inlineStr">
        <is>
          <t>Inactive Programs — Community Planning and Development</t>
        </is>
      </c>
      <c r="D94" s="11" t="inlineStr">
        <is>
          <t>Grants to directly enhance the security of Section 108 guaranteed loans or to improve the viability of the same Section 108 assisted project.</t>
        </is>
      </c>
      <c r="E94" s="11" t="n"/>
      <c r="F94" s="11" t="n"/>
      <c r="G94" s="11" t="n"/>
    </row>
    <row r="95" ht="113.25" customHeight="1">
      <c r="A95" s="10" t="n">
        <v>104</v>
      </c>
      <c r="B95" s="11" t="inlineStr">
        <is>
          <t>Resident Opportunity and Self-Sufficiency (ROSS) for Education Program</t>
        </is>
      </c>
      <c r="C95" s="11" t="inlineStr">
        <is>
          <t>Inactive Programs — Community Planning and Development</t>
        </is>
      </c>
      <c r="D95" s="11" t="inlineStr">
        <is>
          <t>The ROSS for Education Program, also known as Project SOAR (Students + Opportunities + Achievements = Results) was a demonstration program reflecting HUD’s commitment to expand educational services to youth living in HUD-assisted housing. Project SOAR provided grant funding to public housing authorities to deploy education navigators to provide individualized assistance to public housing youth between the ages of 15 and 20 and their families in Free Application for Federal Student Aid (FAFSA) completion, financial literacy and college readiness, postsecondary program applications and post-acceptance assistance. HUD awarded approximately $2 million to nine PHAs in 2016 to hire education navigators.</t>
        </is>
      </c>
      <c r="E95" s="11" t="n"/>
      <c r="F95" s="11" t="n"/>
      <c r="G95" s="11" t="n"/>
    </row>
    <row r="96" ht="90.75" customHeight="1">
      <c r="A96" s="10" t="n">
        <v>104</v>
      </c>
      <c r="B96" s="11" t="inlineStr">
        <is>
          <t>Rural Housing Stability Assistance Program</t>
        </is>
      </c>
      <c r="C96" s="11" t="inlineStr">
        <is>
          <t>Inactive Programs — Community Planning and Development</t>
        </is>
      </c>
      <c r="D96" s="11" t="inlineStr">
        <is>
          <t>Re-housing and other help for individuals moving from emergency or transitional shelters to permanent housing or improves the housing situations of individuals and families who are homeless or in the worst housing situations in the geographic area, stabilizes the housing of individuals and families who are in imminent danger of losing housing, and improves the ability of the lowest-income residents of the community to afford stable housing. While funds are appropriated, HUD exercises its discretion to allocate the funds to the Continuum of Care program.</t>
        </is>
      </c>
      <c r="E96" s="11" t="n"/>
      <c r="F96" s="11" t="n"/>
      <c r="G96" s="11" t="n"/>
    </row>
    <row r="97" ht="79.5" customHeight="1">
      <c r="A97" s="10" t="n">
        <v>104</v>
      </c>
      <c r="B97" s="11" t="inlineStr">
        <is>
          <t>Veterans Housing Rehabilitation and Modification Pilot Program (VHRMP)</t>
        </is>
      </c>
      <c r="C97" s="11" t="inlineStr">
        <is>
          <t>Inactive Programs — Community Planning and Development</t>
        </is>
      </c>
      <c r="D97" s="11" t="inlineStr">
        <is>
          <t>Section 1079 of the National Defense Authorization Act for Fiscal Year 2015 authorized grants to qualified nonprofit organizations to rehabilitate and modify the primary residence of eligible veterans. Conducted in consultation with the Secretary of Veterans Affairs, grant funds were used to modify or rehabilitate the home of low-income disabled veterans. The program was funded in 2016 and subsequent appropriations acts, most recently the Consolidated Appropriations Act, 2023.</t>
        </is>
      </c>
      <c r="E97" s="11" t="n"/>
      <c r="F97" s="11" t="n"/>
      <c r="G97" s="11" t="n"/>
    </row>
    <row r="98" ht="113.25" customHeight="1">
      <c r="A98" s="7" t="n">
        <v>105</v>
      </c>
      <c r="B98" s="8" t="inlineStr">
        <is>
          <t>Juvenile Reentry Assistance Program</t>
        </is>
      </c>
      <c r="C98" s="8" t="inlineStr">
        <is>
          <t>Inactive Programs — Public and Indian Housing</t>
        </is>
      </c>
      <c r="D98" s="8" t="inlineStr">
        <is>
          <t>The Juvenile Reentry Assistance Program sought to alleviate collateral consequences associated with a juvenile or criminal record by assisting youth, up to age 24, residing in public or Section 8-assisted housing; or youth who would be residing in public or Section 8-assisted housing but for their criminal record. As a one-time transfer, the Department of Justice’s Office of Juvenile Justice and Delinquency Prevention transferred through interagency agreement approximately $2.05 million to HUD for the specific purpose of helping youth to improve chances for reentry, reduce recidivism, and address the challenges youth face while trying to reintegrate into their communities. The program expired in 2019.</t>
        </is>
      </c>
      <c r="E98" s="8" t="n"/>
      <c r="F98" s="8" t="n"/>
      <c r="G98" s="8" t="n"/>
    </row>
    <row r="99" ht="45.75" customHeight="1">
      <c r="A99" s="10" t="n">
        <v>105</v>
      </c>
      <c r="B99" s="11" t="inlineStr">
        <is>
          <t>FHA-Home Affordable Modification Program (FHA-HAMP)</t>
        </is>
      </c>
      <c r="C99" s="11" t="inlineStr">
        <is>
          <t>Inactive Programs — Housing/FHA — Single Family Housing Programs</t>
        </is>
      </c>
      <c r="D99" s="11" t="inlineStr">
        <is>
          <t>FHA-HAMP was an enhanced loss mitigation option that combined a loan modification with a partial claim, allowing homeowners to reduce monthly mortgage payment options and avoid foreclosure. Please note that FHA also uses this term to describe one of its current loss mitigation waterfall options.</t>
        </is>
      </c>
      <c r="E99" s="11" t="n"/>
      <c r="F99" s="11" t="n"/>
      <c r="G99" s="11" t="n"/>
    </row>
    <row r="100" ht="34.5" customHeight="1">
      <c r="A100" s="10" t="n">
        <v>105</v>
      </c>
      <c r="B100" s="11" t="inlineStr">
        <is>
          <t>Mortgage Insurance for Manufactured Home Parks (Section 207)</t>
        </is>
      </c>
      <c r="C100" s="11" t="inlineStr">
        <is>
          <t>Inactive Programs — Housing/FHA — Single Family Housing Programs</t>
        </is>
      </c>
      <c r="D100" s="11" t="inlineStr">
        <is>
          <t>Provided mortgage insurance to help finance the construction or rehabilitation of manufactured home parks. HUD has not endorsed a loan under this program since 2013.</t>
        </is>
      </c>
      <c r="E100" s="11" t="n"/>
      <c r="F100" s="11" t="n"/>
      <c r="G100" s="11" t="n"/>
    </row>
    <row r="101" ht="45.75" customHeight="1">
      <c r="A101" s="7" t="n">
        <v>105</v>
      </c>
      <c r="B101" s="8" t="inlineStr">
        <is>
          <t>Congregate Housing Services Program (CHSP)</t>
        </is>
      </c>
      <c r="C101" s="8" t="inlineStr">
        <is>
          <t>Inactive Programs — Housing/FHA — Multifamily Housing Programs</t>
        </is>
      </c>
      <c r="D101" s="8" t="inlineStr">
        <is>
          <t>Federal grants to eligible housing projects for the elderly and persons with disabilities. HUD has neither solicited nor funded applications for new grants under CHSP since 1995, but Congress has provided funds to extend expiring grants on an annual basis.</t>
        </is>
      </c>
      <c r="E101" s="8" t="n"/>
      <c r="F101" s="8" t="n"/>
      <c r="G101" s="8" t="n"/>
    </row>
    <row r="102" ht="45.75" customHeight="1">
      <c r="A102" s="7" t="n">
        <v>105</v>
      </c>
      <c r="B102" s="8" t="inlineStr">
        <is>
          <t>Senior Preservation Rental Assistance Contracts (SPRAC)</t>
        </is>
      </c>
      <c r="C102" s="8" t="inlineStr">
        <is>
          <t>Inactive Programs — Housing/FHA — Multifamily Housing Programs</t>
        </is>
      </c>
      <c r="D102" s="8" t="inlineStr">
        <is>
          <t>The purpose of the SPRAC Program is to prevent the displacement of currently unassisted income-eligible elderly residents residing in eligible Section 202 Direct Loan properties that may result from the owner’s refinancing or recapitalization of the property.</t>
        </is>
      </c>
      <c r="E102" s="8" t="n"/>
      <c r="F102" s="8" t="n"/>
      <c r="G102" s="8" t="n"/>
    </row>
    <row r="103" ht="409.6" customHeight="1">
      <c r="A103" s="7" t="n">
        <v>105</v>
      </c>
      <c r="B103" s="8" t="inlineStr">
        <is>
          <t>Supportive Services Demonstration (IWISH)</t>
        </is>
      </c>
      <c r="C103" s="8" t="inlineStr">
        <is>
          <t>Inactive Programs — Housing/FHA — Multifamily Housing Programs</t>
        </is>
      </c>
      <c r="D103" s="8" t="inlineStr">
        <is>
          <t>The Supportive Services Demonstration for Elderly Households in HUD-Assisted Multifamily Housing tests the Integrated Wellness in Supportive Housing (IWISH) model, funded onsite staff (Resident Wellness Director and a Wellness nurse) at HUD-assisted housing developments that either predominantly or exclusively served households aged 62 and over. A NOFO was last published for Fiscal Year 2015. The following names table and index are intended to assist readers in finding programs that are often referred to using the shorthand of their statutory designation, both in this document and in statutes. Commonly Used Program Names Table Title I Program Name Community Development Block Grants I Property Improvement Loans and Manufactured Home Loans Non-Discrimination on the Basis of Disability by Public Entities in HousingRelated Programs, Services, and Activities Equal Opportunity in HUD-Assisted Programs II VI VI Title VI Loan Guarantee Program VIII X Fair Housing Act Lead Hazard Control Section 203(b) 203(k) Program Name Economic Opportunities for Low- and Very Low-Income Persons Low-Income Rental Assistance Section 108 Loan Guarantees Nondiscrimination in Programs and Activities Receiving Assistance Under Title I of the Housing and Community Development Act of 1974 Indian Home Loan Guarantees Supportive Housing for the Elderly One- to Four-Family Home Mortgage Insurance Rehabilitation Mortgage Insurance Multifamily Rental Housing Cooperative Housing Statute Housing and Community Development Act of 1974 National Housing Act Americans with Disabilities Act Civil Rights Act of 1964 Section 504 of the Rehabilitation Act Civil Rights Act of 1968 Native American Housing Assistance and Self-Determination Act of 1996 Civil Rights Act of 1968 Housing and Community Development Act of 1992 Statute Housing and Urban Development Act of 1968 United States Housing Act of 1937 Housing and Community Development Act of 1974 Housing and Community Development Act of 1974 Housing and Community Development Act of 1992 Housing Act of 1959 National Housing Act National Housing Act National Housing Act National Housing Act Section Program Name 221(d)(2) Homeownership Assistance for Low- and Moderate-Income Families 221(d)(3) Multifamily Rental Housing for ModerateIncome Families 223(f) Existing Multifamily Rental Housing Mortgage Insurance for Housing for the Elderly Nursing Homes, Intermediate Care Facilities, and Board and Care Homes Condominium Housing Hospitals Home Equity Conversion Mortgage (HECM) Non-Discrimination on the Basis of Disability in HUD-Assisted Programs Supportive Housing for Persons with Disabilities Statute National Housing Act National Housing Act National Housing Act National Housing Act National Housing Act National Housing Act National Housing Act National Housing Act Rehabilitation Act of 1973 Housing Act of 1959 Program Index American Rescue Plan Act ..................... 100 Appropriations, 2012 RAD...................................................... 97 Appropriations, 2014 IWISH ................................................ 107 Appropriations, 2015 Tribal HUD-VASH .............................. 98 Appropriations, 2016 Resident Opportunity and SelfSufficiency (ROSS) for Education Program .......................................... 105 Youth Homelessness Demo.................. 98 Appropriations, 2019 Mobility Demonstration (Community Mobility Choice Demonstration ...... 99 Appropriations, 2023 .............................. 101 PRICE ................................................. 101 PRO Housing ...................................... 101 Book-Rich Environments Initiative .......... 57 Capacity Building for Community Development and Affordable Housing ... 8 Choice Neighborhoods.............................. 58 CHSP....................................................... 106 Community Compass Technical Assistance and Capacity Building Program ............ 86 Community Development Block Grants (CDBG) Disaster Recovery Assistance ................ 9 Entitlement ........................................... 11 For Insular Areas .................................. 13 Indian .................................................... 71 Non-Entitlement for States and Small Cities ................................................ 14 Section 108 Loan Guarantee ................ 15 Competitive EDI Grants ......................... 105 ConnectHomeUSA ................................... 59 Continuum of Care Program ..................... 17 Davis-Bacon and Labor Standards............ 90 Defense Authorization, 2015 Veteran Home Repair Demo .............. 106 Emergency Solutions Grants (ESG) ......... 18 Energy Efficient Mortgage Program ......... 26 Equal Opportunity ..................................... 77 Fair Housing Act ....................................... 80 Fair Housing Assistance (FHAP).............. 82 Fair Housing Initiatives (FHIP) ................ 83 Family Self-Sufficiency ............................ 60 FHA-Home Affordable Modification Program ............................................... 106 Ginnie Mae Mortgage-Backed Securities I .............. 92 Multiclass Securities............................. 93 Good Neighbor Next Door........................ 27 HECM ....................................................... 28 HERA........................................................ 97 Tax Credit Pilot .................................... 97 HOME Investment Partnerships ............... 20 Housing Choice Voucher Program ........... 61 Housing Counseling Program ................... 56 Housing Opportunities for Persons With AIDS ..................................................... 22 Housing Trust Fund .................................. 23 Indian Housing Block Grants.................... 72 Inflation Reduction Act........................... 101 Green and Resilient Retrofit Program (GRRP) .......................................... 101 Interagency Council on Homelessness ... 104 Jobs Plus.................................................... 64 Juvenile Reentry Assistance Program ..... 106 Lead Hazard Control and Healthy Homes 95 Loss Mitigation ......................................... 31 MAHRA.................................................... 50 Manufactured Home Construction and Safety Standards.................................... 40 Mark-to-Market Program .......................... 41 Moving to Work........................................ 65 Multifamily Housing Service Coordinators ............................................................... 47 Native Hawaiian Housing Block Grants ... 75 Neighborhood Reinvestment Corporation ............................................................. 102 Policy Development and Research ........... 85 Project-Based Vouchers ............................ 66 Public Housing Capital Fund .................... 67 Public Housing Operating Fund................ 69 ROSS......................................................... 70 Rural Capacity Building ........................... 24 Rural Housing Stability Assistance ........ 105 Section 184................................................ 73 Section 184A............................................. 74 Section 202................................................ 51 Section 203................................................ 34 Section 203(h) ........................................... 33 Section 203(k) ........................................... 37 Section 204(g) ........................................... 38 Section 207.............................................. 106 Section 207/223(f) .................................... 43 Section 213................................................ 42 Section 220................................................ 45 Section 221(d)(3) and (4) .......................... 49 Section 231................................................ 44 Section 232................................................ 55 Section 232/223(f) .................................... 55 Section 241................................................ 46 Section 242................................................ 54 Section 247................................................ 30 Section 248................................................ 35 Section 251................................................ 29 Section 3.................................................... 91 Section 32.................................................. 68 Section 542(b) and (c) ............................... 48 Section 811................................................ 52 SHOP ........................................................ 25 Title I Manufactured Homes Loan Insurance . 32 Property Improvement Loan Insurance 36 Title V ....................................................... 19 Title VI ...................................................... 76</t>
        </is>
      </c>
      <c r="E103" s="8" t="n"/>
      <c r="F103" s="8" t="n"/>
      <c r="G103" s="8" t="n"/>
    </row>
  </sheetData>
  <autoFilter ref="A1:G103"/>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1" r:id="rId48"/>
    <hyperlink xmlns:r="http://schemas.openxmlformats.org/officeDocument/2006/relationships" ref="G52" r:id="rId49"/>
    <hyperlink xmlns:r="http://schemas.openxmlformats.org/officeDocument/2006/relationships" ref="G53" r:id="rId50"/>
    <hyperlink xmlns:r="http://schemas.openxmlformats.org/officeDocument/2006/relationships" ref="G54" r:id="rId51"/>
    <hyperlink xmlns:r="http://schemas.openxmlformats.org/officeDocument/2006/relationships" ref="G55" r:id="rId52"/>
    <hyperlink xmlns:r="http://schemas.openxmlformats.org/officeDocument/2006/relationships" ref="G56" r:id="rId53"/>
    <hyperlink xmlns:r="http://schemas.openxmlformats.org/officeDocument/2006/relationships" ref="G57" r:id="rId54"/>
    <hyperlink xmlns:r="http://schemas.openxmlformats.org/officeDocument/2006/relationships" ref="G58" r:id="rId55"/>
    <hyperlink xmlns:r="http://schemas.openxmlformats.org/officeDocument/2006/relationships" ref="G59" r:id="rId56"/>
    <hyperlink xmlns:r="http://schemas.openxmlformats.org/officeDocument/2006/relationships" ref="G60" r:id="rId57"/>
    <hyperlink xmlns:r="http://schemas.openxmlformats.org/officeDocument/2006/relationships" ref="G61" r:id="rId58"/>
    <hyperlink xmlns:r="http://schemas.openxmlformats.org/officeDocument/2006/relationships" ref="G62" r:id="rId59"/>
    <hyperlink xmlns:r="http://schemas.openxmlformats.org/officeDocument/2006/relationships" ref="G63" r:id="rId60"/>
    <hyperlink xmlns:r="http://schemas.openxmlformats.org/officeDocument/2006/relationships" ref="G64" r:id="rId61"/>
    <hyperlink xmlns:r="http://schemas.openxmlformats.org/officeDocument/2006/relationships" ref="G65" r:id="rId62"/>
    <hyperlink xmlns:r="http://schemas.openxmlformats.org/officeDocument/2006/relationships" ref="G66" r:id="rId63"/>
    <hyperlink xmlns:r="http://schemas.openxmlformats.org/officeDocument/2006/relationships" ref="G67" r:id="rId64"/>
    <hyperlink xmlns:r="http://schemas.openxmlformats.org/officeDocument/2006/relationships" ref="G68" r:id="rId65"/>
    <hyperlink xmlns:r="http://schemas.openxmlformats.org/officeDocument/2006/relationships" ref="G69" r:id="rId66"/>
    <hyperlink xmlns:r="http://schemas.openxmlformats.org/officeDocument/2006/relationships" ref="G70" r:id="rId67"/>
    <hyperlink xmlns:r="http://schemas.openxmlformats.org/officeDocument/2006/relationships" ref="G71" r:id="rId68"/>
    <hyperlink xmlns:r="http://schemas.openxmlformats.org/officeDocument/2006/relationships" ref="G72" r:id="rId69"/>
    <hyperlink xmlns:r="http://schemas.openxmlformats.org/officeDocument/2006/relationships" ref="G73" r:id="rId70"/>
    <hyperlink xmlns:r="http://schemas.openxmlformats.org/officeDocument/2006/relationships" ref="G74" r:id="rId71"/>
    <hyperlink xmlns:r="http://schemas.openxmlformats.org/officeDocument/2006/relationships" ref="G75" r:id="rId72"/>
    <hyperlink xmlns:r="http://schemas.openxmlformats.org/officeDocument/2006/relationships" ref="G76" r:id="rId73"/>
    <hyperlink xmlns:r="http://schemas.openxmlformats.org/officeDocument/2006/relationships" ref="G77" r:id="rId74"/>
    <hyperlink xmlns:r="http://schemas.openxmlformats.org/officeDocument/2006/relationships" ref="G78" r:id="rId75"/>
    <hyperlink xmlns:r="http://schemas.openxmlformats.org/officeDocument/2006/relationships" ref="G79" r:id="rId76"/>
    <hyperlink xmlns:r="http://schemas.openxmlformats.org/officeDocument/2006/relationships" ref="G80" r:id="rId77"/>
    <hyperlink xmlns:r="http://schemas.openxmlformats.org/officeDocument/2006/relationships" ref="G81" r:id="rId78"/>
    <hyperlink xmlns:r="http://schemas.openxmlformats.org/officeDocument/2006/relationships" ref="G82" r:id="rId79"/>
    <hyperlink xmlns:r="http://schemas.openxmlformats.org/officeDocument/2006/relationships" ref="G83" r:id="rId80"/>
    <hyperlink xmlns:r="http://schemas.openxmlformats.org/officeDocument/2006/relationships" ref="G84" r:id="rId81"/>
    <hyperlink xmlns:r="http://schemas.openxmlformats.org/officeDocument/2006/relationships" ref="G85" r:id="rId82"/>
    <hyperlink xmlns:r="http://schemas.openxmlformats.org/officeDocument/2006/relationships" ref="G87" r:id="rId83"/>
    <hyperlink xmlns:r="http://schemas.openxmlformats.org/officeDocument/2006/relationships" ref="G88" r:id="rId84"/>
    <hyperlink xmlns:r="http://schemas.openxmlformats.org/officeDocument/2006/relationships" ref="G89" r:id="rId85"/>
    <hyperlink xmlns:r="http://schemas.openxmlformats.org/officeDocument/2006/relationships" ref="G90" r:id="rId86"/>
    <hyperlink xmlns:r="http://schemas.openxmlformats.org/officeDocument/2006/relationships" ref="G91" r:id="rId87"/>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A98"/>
  <sheetViews>
    <sheetView tabSelected="0" zoomScaleNormal="100" workbookViewId="0">
      <selection activeCell="A1" sqref="A1"/>
    </sheetView>
  </sheetViews>
  <sheetFormatPr baseColWidth="8" defaultColWidth="8.6640625" defaultRowHeight="14.4"/>
  <cols>
    <col width="110" customWidth="1" min="1" max="1"/>
  </cols>
  <sheetData>
    <row r="1" ht="17.25" customHeight="1">
      <c r="A1" s="13" t="inlineStr">
        <is>
          <t>Programs of HUD — 2025 Reference Spreadsheet</t>
        </is>
      </c>
    </row>
    <row r="2" ht="15" customHeight="1">
      <c r="A2" s="14" t="n"/>
    </row>
    <row r="3" ht="23.25" customHeight="1">
      <c r="A3" s="14" t="inlineStr">
        <is>
          <t>Source: U.S. Department of Housing and Urban Development, "Programs of HUD 2025" (Major Mortgage, Grant, Assistance, and Regulatory Programs, 2025).</t>
        </is>
      </c>
    </row>
    <row r="4" ht="15" customHeight="1">
      <c r="A4" s="14" t="inlineStr">
        <is>
          <t>Original PDF filename: HUDPrograms2025.pdf (109 pages, dated December 17, 2024).</t>
        </is>
      </c>
    </row>
    <row r="5" ht="15" customHeight="1">
      <c r="A5" s="14" t="n"/>
    </row>
    <row r="6" ht="15" customHeight="1">
      <c r="A6" s="14" t="inlineStr">
        <is>
          <t>Coverage: All programs listed in the HUD 2025 reference document, including:</t>
        </is>
      </c>
    </row>
    <row r="7" ht="15" customHeight="1">
      <c r="A7" s="14" t="inlineStr">
        <is>
          <t xml:space="preserve">  • Active programs in each program office (rows grouped by Administering Office)</t>
        </is>
      </c>
    </row>
    <row r="8" ht="15" customHeight="1">
      <c r="A8" s="14" t="inlineStr">
        <is>
          <t xml:space="preserve">  • Temporary programs authorized through specific appropriations acts</t>
        </is>
      </c>
    </row>
    <row r="9" ht="15" customHeight="1">
      <c r="A9" s="14" t="inlineStr">
        <is>
          <t xml:space="preserve">  • Related agencies (NeighborWorks America, U.S. Interagency Council on Homelessness)</t>
        </is>
      </c>
    </row>
    <row r="10" ht="15" customHeight="1">
      <c r="A10" s="14" t="inlineStr">
        <is>
          <t xml:space="preserve">  • Inactive programs (programs receiving no new funds or only renewal funding)</t>
        </is>
      </c>
    </row>
    <row r="11" ht="15" customHeight="1">
      <c r="A11" s="14" t="n"/>
    </row>
    <row r="12" ht="15" customHeight="1">
      <c r="A12" s="14" t="inlineStr">
        <is>
          <t>Total programs: 102</t>
        </is>
      </c>
    </row>
    <row r="13" ht="15" customHeight="1">
      <c r="A13" s="14" t="n"/>
    </row>
    <row r="14" ht="15" customHeight="1">
      <c r="A14" s="14" t="inlineStr">
        <is>
          <t>Column notes:</t>
        </is>
      </c>
    </row>
    <row r="15" ht="34.5" customHeight="1">
      <c r="A15" s="14" t="inlineStr">
        <is>
          <t xml:space="preserve">  • Program Summary: drawn from the brief introductory description in each program's PDF entry (the italicized teaser sentence(s) appearing immediately under the program title in the source document). Trimmed to two sentences where the original was longer.</t>
        </is>
      </c>
    </row>
    <row r="16" ht="23.25" customHeight="1">
      <c r="A16" s="14" t="inlineStr">
        <is>
          <t xml:space="preserve">  • Statutory Authority: extracted from each program's "Legal Authority" section. For Temporary Programs, the authorizing appropriations act (with Public Law number) is used.</t>
        </is>
      </c>
    </row>
    <row r="17" ht="34.5" customHeight="1">
      <c r="A17" s="14" t="inlineStr">
        <is>
          <t xml:space="preserve">  • CFR Citation: extracted from the "Regulations are at ..." sentence in each program's "Legal Authority" section. Empty for programs that are administered through NOFOs, notices, or appropriations acts without implementing CFR regulations (typical for capacity-building grants, technical-assistance programs, and demonstration pilots).</t>
        </is>
      </c>
    </row>
    <row r="18" ht="15" customHeight="1">
      <c r="A18" s="14" t="inlineStr">
        <is>
          <t xml:space="preserve">  • Inactive programs lack labeled Legal Authority / Website sections in the source PDF, so those cells are left blank.</t>
        </is>
      </c>
    </row>
    <row r="19" ht="15" customHeight="1">
      <c r="A19" s="14" t="n"/>
    </row>
    <row r="20" ht="15" customHeight="1">
      <c r="A20" s="14" t="inlineStr">
        <is>
          <t>Generated automatically from the source PDF using pdftotext + a custom parser.</t>
        </is>
      </c>
    </row>
    <row r="22" ht="15" customHeight="1">
      <c r="A22" s="14" t="n"/>
    </row>
    <row r="23" ht="15" customHeight="1">
      <c r="A23" s="14" t="inlineStr">
        <is>
          <t>—— FPI (HUD) sheet ——</t>
        </is>
      </c>
    </row>
    <row r="24" ht="15" customHeight="1">
      <c r="A24" s="14" t="n"/>
    </row>
    <row r="25" ht="15" customHeight="1">
      <c r="A25" s="14" t="inlineStr">
        <is>
          <t>Source: U.S. Office of Management and Budget, Federal Program Inventory (fpi.omb.gov), bulk file 'all-program-data.csv'.</t>
        </is>
      </c>
    </row>
    <row r="26" ht="15" customHeight="1">
      <c r="A26" s="14" t="inlineStr">
        <is>
          <t>Filter: agency = 'Department of Housing and Urban Development' (100 programs).</t>
        </is>
      </c>
    </row>
    <row r="27" ht="15" customHeight="1">
      <c r="A27" s="14" t="n"/>
    </row>
    <row r="28" ht="15" customHeight="1">
      <c r="A28" s="14" t="inlineStr">
        <is>
          <t>Columns dropped from the source file: sam_url, usaspending_url, grants_url, categories.</t>
        </is>
      </c>
    </row>
    <row r="29" ht="15" customHeight="1">
      <c r="A29" s="14" t="n"/>
    </row>
    <row r="30" ht="15" customHeight="1">
      <c r="A30" s="14" t="inlineStr">
        <is>
          <t>How to read the obligation columns:</t>
        </is>
      </c>
    </row>
    <row r="31" ht="34.5" customHeight="1">
      <c r="A31" s="14" t="inlineStr">
        <is>
          <t xml:space="preserve">  The raw 'Obligations (raw JSON, all years)' column at the far right preserves the source data exactly as published — a JSON array with three values per fiscal year: sam_estimate (SAM.gov-reported estimate), sam_actual (SAM.gov-reported actual), and usa_spending_actual (USAspending.gov-reported actual).</t>
        </is>
      </c>
    </row>
    <row r="32" ht="15" customHeight="1">
      <c r="A32" s="14" t="n"/>
    </row>
    <row r="33" ht="45.75" customHeight="1">
      <c r="A33" s="14" t="inlineStr">
        <is>
          <t xml:space="preserve">  The three computed columns (FY2025/2024/2023) reproduce how fpi.omb.gov itself displays a single headline obligation per program. Per OMB's published methodology (the 'About → Terms' page on fpi.omb.gov, citing OMB Circular A-11): "the website displays estimated obligation from sam.gov for the most current fiscal year and the obligations information from USAspending.gov for all preceding years to arrive at the most accurate picture of the funding level for a given program."</t>
        </is>
      </c>
    </row>
    <row r="34" ht="15" customHeight="1">
      <c r="A34" s="14" t="n"/>
    </row>
    <row r="35" ht="34.5" customHeight="1">
      <c r="A35" s="14" t="inlineStr">
        <is>
          <t xml:space="preserve">  Translation: the FY2025 column uses the SAM.gov ESTIMATE (because 2025 is the current fiscal year in this CSV vintage); the FY2024 and FY2023 columns use USAspending.gov ACTUAL obligations. The 'sam_actual' values in the raw JSON are preserved for reference but are NOT used by FPI's headline calculation.</t>
        </is>
      </c>
    </row>
    <row r="36" ht="15" customHeight="1">
      <c r="A36" s="14" t="n"/>
    </row>
    <row r="37" ht="45.75" customHeight="1">
      <c r="A37" s="14" t="inlineStr">
        <is>
          <t xml:space="preserve">  Caveat: many HUD programs show $0 in the FY2025 column because no SAM.gov estimate was posted for that program in the current year (true zeros, not missing data). Sometimes the same program has a non-trivial sam_actual or usa_spending_actual for 2025 in the raw JSON — these are also displayed by fpi.omb.gov on the program's individual page chart, but are not part of the single headline number.</t>
        </is>
      </c>
    </row>
    <row r="39" ht="15" customHeight="1">
      <c r="A39" s="14" t="n"/>
    </row>
    <row r="40" ht="15" customHeight="1">
      <c r="A40" s="14" t="inlineStr">
        <is>
          <t>—— Matched Programs sheet ——</t>
        </is>
      </c>
    </row>
    <row r="41" ht="15" customHeight="1">
      <c r="A41" s="14" t="n"/>
    </row>
    <row r="42" ht="34.5" customHeight="1">
      <c r="A42" s="14" t="inlineStr">
        <is>
          <t>Cross-walk between the Programs of HUD listings and the FPI (HUD) program inventory entries.  Matches were assigned by hand from a fuzzy-name candidate list, applying the user's &gt;=70%-likely threshold and using office vs. sub-agency consistency as a secondary signal.</t>
        </is>
      </c>
    </row>
    <row r="43" ht="15" customHeight="1">
      <c r="A43" s="14" t="n"/>
    </row>
    <row r="44" ht="15" customHeight="1">
      <c r="A44" s="14" t="inlineStr">
        <is>
          <t>Layout:</t>
        </is>
      </c>
    </row>
    <row r="45" ht="45.75" customHeight="1">
      <c r="A45" s="14" t="inlineStr">
        <is>
          <t xml:space="preserve">  • Section 1 — MATCHED PROGRAMS: each HUD/FPI pair is a single row, with the Programs of HUD fields in light-blue columns and the FPI fields in light-orange columns.  Where one HUD entry is an umbrella that covers multiple FPI sub-listings (e.g., 'Lead Hazard Control and Healthy Homes Program' covers 11 FPI grants, 'Housing Counseling Program' covers 4, etc.), the HUD program appears on one row per FPI sub-listing, so its HUD fields repeat.</t>
        </is>
      </c>
    </row>
    <row r="46" ht="45.75" customHeight="1">
      <c r="A46" s="14" t="inlineStr">
        <is>
          <t xml:space="preserve">  • Section 2 — UNMATCHED HUD (FPI columns left blank): Programs of HUD entries that did not match any FPI entry.  Many of these are: regulatory/standards programs (Davis-Bacon, Equal Opportunity), Ginnie Mae securities (reported under Ginnie Mae, not HUD, in FPI), Related Agencies (NeighborWorks, USICH), Temporary/appropriations-act programs (LIHTC Pilot, RAD, Recovery Housing, ARP, Mobility Demo) that don't have their own Assistance Listing numbers, and Inactive programs.</t>
        </is>
      </c>
    </row>
    <row r="47" ht="45.75" customHeight="1">
      <c r="A47" s="14" t="inlineStr">
        <is>
          <t xml:space="preserve">  • Section 3 — UNMATCHED FPI (HUD columns left blank): FPI HUD-agency entries that don't appear in Programs of HUD.  These tend to be: programs HUD's 2025 PDF doesn't catalog separately (e.g., HOPE VI demolition, Dollar Home Sales, Mainstream Vouchers, Family Unification Program, Section 8 Mod Rehab SRO), older or recovery-act programs (Neighborhood Stabilization), and a few small administrative programs.</t>
        </is>
      </c>
    </row>
    <row r="48" ht="15" customHeight="1">
      <c r="A48" s="14" t="n"/>
    </row>
    <row r="49" ht="15" customHeight="1">
      <c r="A49" s="14" t="inlineStr">
        <is>
          <t>Column structure:</t>
        </is>
      </c>
    </row>
    <row r="50" ht="15" customHeight="1">
      <c r="A50" s="14" t="inlineStr">
        <is>
          <t xml:space="preserve">  • PDF Page — Programs of HUD page reference.</t>
        </is>
      </c>
    </row>
    <row r="51" ht="23.25" customHeight="1">
      <c r="A51" s="14" t="inlineStr">
        <is>
          <t xml:space="preserve">  • Program Name (HUD) and Program Title (FPI) — separate columns, side by side, so the two names can be compared directly.</t>
        </is>
      </c>
    </row>
    <row r="52" ht="15" customHeight="1">
      <c r="A52" s="14" t="inlineStr">
        <is>
          <t xml:space="preserve">  • Administering Office (HUD) and Sub-Agency (FPI) — separate columns, side by side.</t>
        </is>
      </c>
    </row>
    <row r="53" ht="15" customHeight="1">
      <c r="A53" s="14" t="inlineStr">
        <is>
          <t xml:space="preserve">  • Columns F–I are the remaining HUD fields (Summary, Statutory Authority, CFR Citation, Website).</t>
        </is>
      </c>
    </row>
    <row r="54" ht="15" customHeight="1">
      <c r="A54" s="14" t="inlineStr">
        <is>
          <t xml:space="preserve">  • Columns J–R are the remaining FPI fields, ending with the three headline obligation columns (FY2025/2024/2023).  The FPI Agency column is dropped since every row is HUD, and the raw obligations JSON is omitted here (it remains on the FPI (HUD) sheet).</t>
        </is>
      </c>
    </row>
    <row r="56" ht="15" customHeight="1">
      <c r="A56" s="15" t="inlineStr">
        <is>
          <t>—— VA compensation classification (Matched Programs columns S–AD) and VA Treatment Summary sheet ——</t>
        </is>
      </c>
    </row>
    <row r="58" ht="15" customHeight="1">
      <c r="A58" t="inlineStr">
        <is>
          <t>Purpose: support the PL 119-70 §3 review of how VA service-connected disability compensation is treated for income eligibility across HUD programs. Added Sept. 29, 2026.</t>
        </is>
      </c>
    </row>
    <row r="60" ht="15" customHeight="1">
      <c r="A60" t="inlineStr">
        <is>
          <t>Columns (all have dropdowns drawn from the hidden Lists sheet except the free-text columns):</t>
        </is>
      </c>
    </row>
    <row r="61" ht="15" customHeight="1">
      <c r="A61" t="inlineStr">
        <is>
          <t xml:space="preserve">  • Income Test Type — Household income test / Via underlying program (e.g., FSS, ROSS: participants were income-qualified by public housing or HCV) / Underwriting only (FHA) / Not income-tested / Varies by component.</t>
        </is>
      </c>
    </row>
    <row r="62" ht="15" customHeight="1">
      <c r="A62" t="inlineStr">
        <is>
          <t xml:space="preserve">  • Statutory Family — the statute that governs the program's income rule, not necessarily its funding authority (e.g., Section 202/811 use Part 5 by regulation; ICDBG sits with CDBG because PL 119-70 names Indian tribes).</t>
        </is>
      </c>
    </row>
    <row r="63" ht="15" customHeight="1">
      <c r="A63" t="inlineStr">
        <is>
          <t xml:space="preserve">  • Governing Provision and Permitted Income Definition(s) — where the income rule comes from and what definitions are allowed (Part 5 = 24 CFR 5.609; Census long-form; IRS Form 1040 AGI).</t>
        </is>
      </c>
    </row>
    <row r="64" ht="15" customHeight="1">
      <c r="A64" t="inlineStr">
        <is>
          <t xml:space="preserve">  • VA Comp — Income Eligibility and VA Comp — Rent / Assistance Amount — Counted / Excluded / Varies (grantee/agency choice) / Not applicable / Unclear / needs check. Kept separate because several programs treat the two differently (HUD-VASH excludes for eligibility but counts for rent; CoC has no income eligibility test but counts VA comp in rent).</t>
        </is>
      </c>
    </row>
    <row r="65" ht="15" customHeight="1">
      <c r="A65" t="inlineStr">
        <is>
          <t xml:space="preserve">  • Eligibility Treatment vs. PL 119-70 §2 — formula derived from the eligibility column (Consistent / Inconsistent / Partly inconsistent / Not applicable / Needs check).</t>
        </is>
      </c>
    </row>
    <row r="66" ht="15" customHeight="1">
      <c r="A66" t="inlineStr">
        <is>
          <t xml:space="preserve">  • Legal Basis, Why, Notes &amp; Caveats — free text. Verification Status: Verified — primary source (statute/regulation/notice text read) / Partly verified (governing source read, program-specific application inferred) / Not verified — needs check / Not verified — low risk (not income-tested).</t>
        </is>
      </c>
    </row>
    <row r="68" ht="15" customHeight="1">
      <c r="A68" t="inlineStr">
        <is>
          <t>A SUPPLEMENTAL section at the bottom of Matched Programs adds two rows not listed separately in either inventory: Public housing (admissions &amp; occupancy) and HUD-VASH.</t>
        </is>
      </c>
    </row>
    <row r="70" ht="15" customHeight="1">
      <c r="A70" t="inlineStr">
        <is>
          <t>Differences from the Sept. 2026 research report found while verifying:</t>
        </is>
      </c>
    </row>
    <row r="71" ht="15" customHeight="1">
      <c r="A71" t="inlineStr">
        <is>
          <t xml:space="preserve">  • HUD-VASH: the eligibility exclusion is now statutory — 42 U.S.C. 1437a(b)(4)(B)(iv)–(v), added by the 21st Century ROAD to Housing Act (PL 119-101, July 11, 2026) §602. It covers chapter 11 compensation and chapter 15 pension, and expressly keeps them in adjusted income (rent).</t>
        </is>
      </c>
    </row>
    <row r="72" ht="15" customHeight="1">
      <c r="A72" t="inlineStr">
        <is>
          <t xml:space="preserve">  • IHBG / Tribal HUD-VASH / Title VI: NAHASDA's statutory income definition has excluded chapter 11 compensation and chapter 13 DIC since 2010 (25 U.S.C. 4103(9)(C), PL 111-269). 24 CFR 1000.10 still lists VA payments under its Census option and was never conformed; the report's "counted" entry for IHBG reflects the regulation, not the statute. 1000.10 also offers an IRS 1040 option.</t>
        </is>
      </c>
    </row>
    <row r="73" ht="15" customHeight="1">
      <c r="A73" t="inlineStr">
        <is>
          <t xml:space="preserve">  • HOPWA: the report says 574.310(f) allows the IRS 1040 definition; that option was not found in 574.310 as reviewed.</t>
        </is>
      </c>
    </row>
    <row r="75" ht="15" customHeight="1">
      <c r="A75" t="inlineStr">
        <is>
          <t>Sources read for this classification (Sept. 29, 2026): 42 U.S.C. 1437a and 5302 (LII, current codified text); PL 119-70 (congress.gov); 25 U.S.C. 4103 and 4221 (LII); 24 CFR 5.601, 5.609, 570.3, 92.203, 93.151, 1000.10, 1003.4, 574.3, 574.310, 576.103, 576.401, 578.77 (LII); 24 CFR 1006.10 (govregs.com); FR-6476-N-01 HUD-VASH notice (public-inspection PDF); HUD-VASH Operating Requirements FAQs; FY25 Tribal HUD-VASH FAQs (June 2025); Rev. Proc. 2024-38 (irs.gov); HUD Exchange RHP page (CPD-26-09 listing); Veterans Housing Rehabilitation pilot notice (FR Doc. 2017-14630, July 12, 2017); Bipartisan Policy Center section-by-section of PL 119-101.</t>
        </is>
      </c>
    </row>
    <row r="76" ht="15" customHeight="1">
      <c r="A76" t="inlineStr">
        <is>
          <t>Not retrieved: eCFR (blocked), CPD-26-09 notice text (HUD Exchange 404), PL 119-101 slip-law text (congress.gov blocked; govinfo copy truncated).</t>
        </is>
      </c>
    </row>
    <row r="78">
      <c r="A78" s="15" t="inlineStr">
        <is>
          <t>—— Scope Determinations sheet ——</t>
        </is>
      </c>
    </row>
    <row r="80">
      <c r="A80" t="inlineStr">
        <is>
          <t>Purpose: document which programs are in or out of scope for the PL 119-70 review of how VA service-connected disability compensation is treated in HUD income eligibility determinations. Added Oct. 2, 2026.</t>
        </is>
      </c>
    </row>
    <row r="82">
      <c r="A82" t="inlineStr">
        <is>
          <t>Rows: all 102 Programs of HUD entries, the 13 FPI listings not in Programs of HUD, the 2 supplemental rows from Matched Programs (public housing, HUD-VASH), and 4 legacy multifamily programs in neither inventory (Section 236, 221(d)(3) BMIR, Rent Supplement, RAP).</t>
        </is>
      </c>
    </row>
    <row r="84">
      <c r="A84" t="inlineStr">
        <is>
          <t>Columns: Determination (Include / Exclude / Unclear); Basis (one scope criterion per row, coded I, X1–X5, U1–U4, defined in the key to the right of the table); Documentary source (the statute, regulation, notice, or HUD description that establishes the fact the criterion turns on).</t>
        </is>
      </c>
    </row>
    <row r="86">
      <c r="A86" t="inlineStr">
        <is>
          <t>Inclusion test: does a HUD-set income limit condition assistance to households? Exclusions cite the provision that defines who receives the assistance; because that provision lists the eligibility criteria in full, it shows by its own terms that household income isn't one of them.</t>
        </is>
      </c>
    </row>
    <row r="88">
      <c r="A88" t="inlineStr">
        <is>
          <t>Program-level calls: umbrella programs are judged on their household-serving components (e.g., Lead Hazard Control is Include because its hazard-reduction grants are income-tested, even though its technical-studies grants are not).</t>
        </is>
      </c>
    </row>
    <row r="90">
      <c r="A90" s="52" t="inlineStr">
        <is>
          <t>—— Income Standards sheet ——</t>
        </is>
      </c>
    </row>
    <row r="92">
      <c r="A92" t="inlineStr">
        <is>
          <t>Purpose: group the programs that remain in scope (Include or Unclear on Scope Determinations) by the source of their income definition, with an explanation of where each group's standard comes from and what it means for VA disability compensation. Added Oct. 2, 2026.</t>
        </is>
      </c>
    </row>
    <row r="94">
      <c r="A94" t="inlineStr">
        <is>
          <t>Groups: A. 1937 Act definition set in statute; B. HUD-VASH carve-out; C. Part 5 adopted by HUD rule, notice, or handbook; D. CDBG family (grantee menu plus PL 119-70 exclusion); E. HOME-style menu (Part 5 or IRS AGI); F. NAHASDA statutory definition; G. income limit with no definition prescribed; H. tax-code standard (IRC §42); I. no HUD standard.</t>
        </is>
      </c>
    </row>
    <row r="96">
      <c r="A96" t="inlineStr">
        <is>
          <t>The Scope determination column is a live lookup by program name. If a determination changes to Exclude, or a name is edited on Scope Determinations, the cell turns red so the row can be moved or deleted here. The list itself is static.</t>
        </is>
      </c>
    </row>
    <row r="98">
      <c r="A98" t="inlineStr">
        <is>
          <t>Columns G–H (added Oct. 2, 2026): 'Why it's in this group' explains the placement (usually the authorizing law; sometimes that law routes the money through another program's statute, e.g., EHV and RAD to Section 8 or CDBG-DR and RHP to HCDA Title I, or leaves the definition to HUD), and 'Authorizing law' cites the statute or appropriations act.</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M101"/>
  <sheetViews>
    <sheetView tabSelected="0" zoomScaleNormal="100" workbookViewId="0">
      <pane xSplit="2" ySplit="1" topLeftCell="C2" activePane="bottomRight" state="frozen"/>
      <selection pane="topRight" activeCell="C1" sqref="C1"/>
      <selection pane="bottomLeft" activeCell="A2" sqref="A2"/>
      <selection pane="bottomRight" activeCell="A1" sqref="A1"/>
    </sheetView>
  </sheetViews>
  <sheetFormatPr baseColWidth="8" defaultColWidth="8.6640625" defaultRowHeight="14.4"/>
  <cols>
    <col width="10" customWidth="1" min="1" max="1"/>
    <col width="38" customWidth="1" min="2" max="2"/>
    <col width="22" customWidth="1" min="3" max="3"/>
    <col width="14" customWidth="1" min="4" max="4"/>
    <col width="24" customWidth="1" min="5" max="5"/>
    <col width="60" customWidth="1" min="6" max="6"/>
    <col width="24" customWidth="1" min="7" max="7"/>
    <col width="28" customWidth="1" min="8" max="9"/>
    <col width="22" customWidth="1" min="10" max="12"/>
    <col width="50" customWidth="1" min="13" max="13"/>
  </cols>
  <sheetData>
    <row r="1" ht="36" customHeight="1">
      <c r="A1" s="6" t="inlineStr">
        <is>
          <t>AL Number</t>
        </is>
      </c>
      <c r="B1" s="6" t="inlineStr">
        <is>
          <t>Program Title</t>
        </is>
      </c>
      <c r="C1" s="6" t="inlineStr">
        <is>
          <t>Popular Name</t>
        </is>
      </c>
      <c r="D1" s="6" t="inlineStr">
        <is>
          <t>Agency</t>
        </is>
      </c>
      <c r="E1" s="6" t="inlineStr">
        <is>
          <t>Sub-Agency</t>
        </is>
      </c>
      <c r="F1" s="6" t="inlineStr">
        <is>
          <t>Objective</t>
        </is>
      </c>
      <c r="G1" s="6" t="inlineStr">
        <is>
          <t>Assistance Types</t>
        </is>
      </c>
      <c r="H1" s="6" t="inlineStr">
        <is>
          <t>Beneficiary Types</t>
        </is>
      </c>
      <c r="I1" s="6" t="inlineStr">
        <is>
          <t>Applicant Types</t>
        </is>
      </c>
      <c r="J1" s="6" t="inlineStr">
        <is>
          <t>FY2025 Obligation — FPI Headline ($, SAM estimate)</t>
        </is>
      </c>
      <c r="K1" s="6" t="inlineStr">
        <is>
          <t>FY2024 Obligation ($, USAspending actual)</t>
        </is>
      </c>
      <c r="L1" s="6" t="inlineStr">
        <is>
          <t>FY2023 Obligation ($, USAspending actual)</t>
        </is>
      </c>
      <c r="M1" s="6" t="inlineStr">
        <is>
          <t>Obligations (raw JSON, all years)</t>
        </is>
      </c>
    </row>
    <row r="2" ht="90.75" customHeight="1">
      <c r="A2" s="11" t="inlineStr">
        <is>
          <t>14.021</t>
        </is>
      </c>
      <c r="B2" s="11" t="inlineStr">
        <is>
          <t>Green and Resilient Retrofit Program</t>
        </is>
      </c>
      <c r="C2" s="11" t="inlineStr">
        <is>
          <t>GRRP</t>
        </is>
      </c>
      <c r="D2" s="11" t="inlineStr">
        <is>
          <t>Department of Housing and Urban Development</t>
        </is>
      </c>
      <c r="E2" s="11" t="inlineStr">
        <is>
          <t>Assistant Secretary for Housing -- Federal Housing Commissioner</t>
        </is>
      </c>
      <c r="F2" s="11" t="inlineStr">
        <is>
          <t>The Green and Resilient Retrofit Program offers loans and grants for HUD-assisted multifamily properties to improve energy or water efficiency, enhance indoor air quality or sustainability, implement the use of zero-emission electricity generation, low-emission building materials or processes, energy storage, or building electrification strategies, or address climate resilience.</t>
        </is>
      </c>
      <c r="G2" s="11" t="inlineStr">
        <is>
          <t>Direct Loans</t>
        </is>
      </c>
      <c r="H2" s="11" t="inlineStr">
        <is>
          <t>Private nonprofit institution/organization,Profit organization,Public nonprofit institution/organization</t>
        </is>
      </c>
      <c r="I2" s="11" t="inlineStr">
        <is>
          <t>Private nonprofit institution/organization (includes institutions of higher education and hospitals),Profit organization,Public nonprofit institution/organization (includes institutions of higher education and hospitals)</t>
        </is>
      </c>
      <c r="J2" s="16" t="n">
        <v>0</v>
      </c>
      <c r="K2" s="16" t="n">
        <v>590926365</v>
      </c>
      <c r="L2" s="16" t="n">
        <v>9025948</v>
      </c>
      <c r="M2" s="11" t="inlineStr">
        <is>
          <t>[{"x":"2023","sam_estimate":0.0,"sam_actual":75000000.0,"usa_spending_actual":9025948.0},{"x":"2024","sam_estimate":0.0,"sam_actual":87000000.0,"usa_spending_actual":590926365.0},{"x":"2025","sam_estimate":0.0,"sam_actual":0.0,"usa_spending_actual":19471823.2}]</t>
        </is>
      </c>
    </row>
    <row r="3" ht="213.75" customHeight="1">
      <c r="A3" s="11" t="inlineStr">
        <is>
          <t>14.022</t>
        </is>
      </c>
      <c r="B3" s="11" t="inlineStr">
        <is>
          <t>Housing Counseling Program Homeownership Initiative</t>
        </is>
      </c>
      <c r="C3" s="11" t="n"/>
      <c r="D3" s="11" t="inlineStr">
        <is>
          <t>Department of Housing and Urban Development</t>
        </is>
      </c>
      <c r="E3" s="11" t="inlineStr">
        <is>
          <t>Assistant Secretary for Housing -- Federal Housing Commissioner</t>
        </is>
      </c>
      <c r="F3" s="11" t="inlineStr">
        <is>
          <t>The Homeownership Initiative (HI) helps to bridge the homeownership gap by increasing homeownership rates among historically underserved borrowers. HUD-approved Intermediaries, Multi-State Organizations, and State Housing Finance Agencies will receive fixed amount awards to provide culturally sensitive linguistically appropriate pre-purchase and post-purchase counseling that results in home purchase.</t>
        </is>
      </c>
      <c r="G3" s="11" t="inlineStr">
        <is>
          <t>Project Grants</t>
        </is>
      </c>
      <c r="H3" s="11" t="n"/>
      <c r="I3" s="11" t="inlineStr">
        <is>
          <t>Local (includes State-designated lndian Tribes, excludes institutions of higher education and hospitals,Other private institutions/organizations,Other public institution/organization,Private nonprofit institution/organization (includes institutions of higher education and hospitals),Public nonprofit institution/organization (includes institutions of higher education and hospitals),State,State (includes District of Columbia, public institutions of higher education and hospitals)</t>
        </is>
      </c>
      <c r="J3" s="16" t="n">
        <v>0</v>
      </c>
      <c r="K3" s="16" t="n">
        <v>10000000</v>
      </c>
      <c r="L3" s="16" t="n">
        <v>0</v>
      </c>
      <c r="M3" s="11" t="inlineStr">
        <is>
          <t>[{"x":"2023","sam_estimate":0.0,"sam_actual":67000000.0,"usa_spending_actual":0.0},{"x":"2024","sam_estimate":0.0,"sam_actual":61000000.0,"usa_spending_actual":10000000.0},{"x":"2025","sam_estimate":0.0,"sam_actual":0.0,"usa_spending_actual":-66186.5}]</t>
        </is>
      </c>
    </row>
    <row r="4" ht="147" customHeight="1">
      <c r="A4" s="11" t="inlineStr">
        <is>
          <t>14.023</t>
        </is>
      </c>
      <c r="B4" s="11" t="inlineStr">
        <is>
          <t>Community Development Block Grant- PRO Housing Competition</t>
        </is>
      </c>
      <c r="C4" s="11" t="inlineStr">
        <is>
          <t>PRO Housing</t>
        </is>
      </c>
      <c r="D4" s="11" t="inlineStr">
        <is>
          <t>Department of Housing and Urban Development</t>
        </is>
      </c>
      <c r="E4" s="11" t="inlineStr">
        <is>
          <t>Assistant Secretary for Community Planning and Development</t>
        </is>
      </c>
      <c r="F4" s="11" t="inlineStr">
        <is>
          <t>PRO (Pathways to Removing Obstacles) to Housing provides competitive grant funds for the identification and removal of barriers to affordable housing production and preservation.</t>
        </is>
      </c>
      <c r="G4" s="11" t="inlineStr">
        <is>
          <t>Project Grants</t>
        </is>
      </c>
      <c r="H4" s="11" t="n"/>
      <c r="I4" s="11" t="inlineStr">
        <is>
          <t>Government - General,Local (includes State-designated lndian Tribes, excludes institutions of higher education and hospitals,Native American Organizations (includes lndian groups, cooperatives, corporations, partnerships, associations),Non-Government - General,Other private institutions/organizations,Other public institution/organization,State</t>
        </is>
      </c>
      <c r="J4" s="16" t="n">
        <v>0</v>
      </c>
      <c r="K4" s="16" t="n">
        <v>84935899.92</v>
      </c>
      <c r="L4" s="16" t="n">
        <v>0</v>
      </c>
      <c r="M4" s="11" t="inlineStr">
        <is>
          <t>[{"x":"2023","sam_estimate":0.0,"sam_actual":10000000.0,"usa_spending_actual":0.0},{"x":"2024","sam_estimate":0.0,"sam_actual":84935898.0,"usa_spending_actual":84935899.92},{"x":"2025","sam_estimate":0.0,"sam_actual":100064101.0,"usa_spending_actual":0.0}]</t>
        </is>
      </c>
    </row>
    <row r="5" ht="180" customHeight="1">
      <c r="A5" s="11" t="inlineStr">
        <is>
          <t>14.024</t>
        </is>
      </c>
      <c r="B5" s="11" t="inlineStr">
        <is>
          <t>Community Development Block Grant- PRICE Competition</t>
        </is>
      </c>
      <c r="C5" s="11" t="inlineStr">
        <is>
          <t>CDBG-PRICE</t>
        </is>
      </c>
      <c r="D5" s="11" t="inlineStr">
        <is>
          <t>Department of Housing and Urban Development</t>
        </is>
      </c>
      <c r="E5" s="11" t="inlineStr">
        <is>
          <t>Assistant Secretary for Community Planning and Development</t>
        </is>
      </c>
      <c r="F5" s="11" t="inlineStr">
        <is>
          <t>The Community Development Block Grant - Preservation and Reinvestment Initiative for Community Enhancement (CDBG-PRICE) competition provides competitive grant funds to help preserve and revitalize manufactured housing and eligible manufactured housing communities and assist in the redevelopment of manufactured housing communities as replacement housing that is affordable.</t>
        </is>
      </c>
      <c r="G5" s="11" t="inlineStr">
        <is>
          <t>Project Grants</t>
        </is>
      </c>
      <c r="H5" s="11" t="n"/>
      <c r="I5" s="11" t="inlineStr">
        <is>
          <t>Federally Recognized lndian Tribal Governments,Government - General,Local (includes State-designated lndian Tribes, excludes institutions of higher education and hospitals,Minority group,Native American Organizations (includes lndian groups, cooperatives, corporations, partnerships, associations),Non-Government - General,Profit organization,Quasi-public nonprofit institution/organization,State</t>
        </is>
      </c>
      <c r="J5" s="16" t="n">
        <v>0</v>
      </c>
      <c r="K5" s="16" t="n">
        <v>0</v>
      </c>
      <c r="L5" s="16" t="n">
        <v>0</v>
      </c>
      <c r="M5" s="11" t="inlineStr">
        <is>
          <t>[{"x":"2023","sam_estimate":0.0,"sam_actual":225000000.0,"usa_spending_actual":0.0},{"x":"2024","sam_estimate":0.0,"sam_actual":0.0,"usa_spending_actual":0.0},{"x":"2025","sam_estimate":0.0,"sam_actual":0.0,"usa_spending_actual":0.0}]</t>
        </is>
      </c>
    </row>
    <row r="6" ht="79.5" customHeight="1">
      <c r="A6" s="11" t="inlineStr">
        <is>
          <t>14.108</t>
        </is>
      </c>
      <c r="B6" s="11" t="inlineStr">
        <is>
          <t>Rehabilitation Mortgage Insurance</t>
        </is>
      </c>
      <c r="C6" s="11" t="inlineStr">
        <is>
          <t>FHA Rehabilitation Mortgage- 203(k)</t>
        </is>
      </c>
      <c r="D6" s="11" t="inlineStr">
        <is>
          <t>Department of Housing and Urban Development</t>
        </is>
      </c>
      <c r="E6" s="11" t="inlineStr">
        <is>
          <t>Assistant Secretary for Housing -- Federal Housing Commissioner</t>
        </is>
      </c>
      <c r="F6" s="11" t="inlineStr">
        <is>
          <t>FHA's 203(k) Rehabilitation Mortgage program is HUD's primary program for the rehabilitation and repair of one to four family properties. It is an important tool for community and neighborhood revitalization and for expanding homeownership opportunities.  The 203(k) program works with either a purchase or refinance transaction and allows the cost of making repairs and/or improvement to be included in the loan amount.</t>
        </is>
      </c>
      <c r="G6" s="11" t="inlineStr">
        <is>
          <t>Guaranteed / Insured Loans</t>
        </is>
      </c>
      <c r="H6" s="11" t="inlineStr">
        <is>
          <t>Anyone/general public,Individual/Family</t>
        </is>
      </c>
      <c r="I6" s="11" t="inlineStr">
        <is>
          <t>Individual/Family</t>
        </is>
      </c>
      <c r="J6" s="16" t="n">
        <v>0</v>
      </c>
      <c r="K6" s="16" t="n">
        <v>0</v>
      </c>
      <c r="L6" s="16" t="n">
        <v>0</v>
      </c>
      <c r="M6" s="11" t="inlineStr">
        <is>
          <t>[{"x":"2023","sam_estimate":0.0,"sam_actual":0.0,"usa_spending_actual":0.0},{"x":"2024","sam_estimate":0.0,"sam_actual":0.0,"usa_spending_actual":0.0},{"x":"2025","sam_estimate":0.0,"sam_actual":0.0,"usa_spending_actual":0.0}]</t>
        </is>
      </c>
    </row>
    <row r="7" ht="68.25" customHeight="1">
      <c r="A7" s="11" t="inlineStr">
        <is>
          <t>14.110</t>
        </is>
      </c>
      <c r="B7" s="11" t="inlineStr">
        <is>
          <t>Manufactured Home Loan Insurance (Title I)</t>
        </is>
      </c>
      <c r="C7" s="11" t="inlineStr">
        <is>
          <t>Manufactured Home Loan Insurance (Title I)</t>
        </is>
      </c>
      <c r="D7" s="11" t="inlineStr">
        <is>
          <t>Department of Housing and Urban Development</t>
        </is>
      </c>
      <c r="E7" s="11" t="inlineStr">
        <is>
          <t>Assistant Secretary for Housing -- Federal Housing Commissioner</t>
        </is>
      </c>
      <c r="F7" s="11" t="inlineStr">
        <is>
          <t>To help people purchase a manufactured home or refinance an existing manufactured home loan. mortgage.</t>
        </is>
      </c>
      <c r="G7" s="11" t="inlineStr">
        <is>
          <t>Sale, Exchange, or Donation of Property or Goods</t>
        </is>
      </c>
      <c r="H7" s="11" t="inlineStr">
        <is>
          <t>Anyone/general public,Individual/Family</t>
        </is>
      </c>
      <c r="I7" s="11" t="inlineStr">
        <is>
          <t>Individual/Family</t>
        </is>
      </c>
      <c r="J7" s="16" t="n">
        <v>0</v>
      </c>
      <c r="K7" s="16" t="n">
        <v>0</v>
      </c>
      <c r="L7" s="16" t="n">
        <v>0</v>
      </c>
      <c r="M7" s="11" t="inlineStr">
        <is>
          <t>[{"x":"2023","sam_estimate":0.0,"sam_actual":0.0,"usa_spending_actual":0.0},{"x":"2024","sam_estimate":0.0,"sam_actual":4000000.0,"usa_spending_actual":0.0},{"x":"2025","sam_estimate":0.0,"sam_actual":0.0,"usa_spending_actual":0.0}]</t>
        </is>
      </c>
    </row>
    <row r="8" ht="68.25" customHeight="1">
      <c r="A8" s="11" t="inlineStr">
        <is>
          <t>14.117</t>
        </is>
      </c>
      <c r="B8" s="11" t="inlineStr">
        <is>
          <t>Mortgage Insurance Homes</t>
        </is>
      </c>
      <c r="C8" s="11" t="inlineStr">
        <is>
          <t>FHA Home Mortgage Insurance- 203(b)</t>
        </is>
      </c>
      <c r="D8" s="11" t="inlineStr">
        <is>
          <t>Department of Housing and Urban Development</t>
        </is>
      </c>
      <c r="E8" s="11" t="inlineStr">
        <is>
          <t>Assistant Secretary for Housing -- Federal Housing Commissioner</t>
        </is>
      </c>
      <c r="F8" s="11" t="inlineStr">
        <is>
          <t>Helps enable people to purchase a home or refinance an existing mortgage.</t>
        </is>
      </c>
      <c r="G8" s="11" t="inlineStr">
        <is>
          <t>Guaranteed / Insured Loans</t>
        </is>
      </c>
      <c r="H8" s="11" t="inlineStr">
        <is>
          <t>Anyone/general public,Individual/Family</t>
        </is>
      </c>
      <c r="I8" s="11" t="inlineStr">
        <is>
          <t>Individual/Family</t>
        </is>
      </c>
      <c r="J8" s="16" t="n">
        <v>0</v>
      </c>
      <c r="K8" s="16" t="n">
        <v>0</v>
      </c>
      <c r="L8" s="16" t="n">
        <v>0</v>
      </c>
      <c r="M8" s="11" t="inlineStr">
        <is>
          <t>[{"x":"2023","sam_estimate":0.0,"sam_actual":195799000.0,"usa_spending_actual":0.0},{"x":"2024","sam_estimate":0.0,"sam_actual":225000000.0,"usa_spending_actual":0.0},{"x":"2025","sam_estimate":0.0,"sam_actual":0.0,"usa_spending_actual":0.0}]</t>
        </is>
      </c>
    </row>
    <row r="9" ht="68.25" customHeight="1">
      <c r="A9" s="11" t="inlineStr">
        <is>
          <t>14.119</t>
        </is>
      </c>
      <c r="B9" s="11" t="inlineStr">
        <is>
          <t>Mortgage Insurance Homes for Disaster Victims</t>
        </is>
      </c>
      <c r="C9" s="11" t="inlineStr">
        <is>
          <t>Mortgage Insurance for DIsaster Victims- 203(h)</t>
        </is>
      </c>
      <c r="D9" s="11" t="inlineStr">
        <is>
          <t>Department of Housing and Urban Development</t>
        </is>
      </c>
      <c r="E9" s="11" t="inlineStr">
        <is>
          <t>Assistant Secretary for Housing -- Federal Housing Commissioner</t>
        </is>
      </c>
      <c r="F9" s="11" t="inlineStr">
        <is>
          <t>To help victims of a Presidentially-declared disaster whose home was destroyed undertake homeownership on a sound basis.</t>
        </is>
      </c>
      <c r="G9" s="11" t="inlineStr">
        <is>
          <t>Sale, Exchange, or Donation of Property or Goods</t>
        </is>
      </c>
      <c r="H9" s="11" t="inlineStr">
        <is>
          <t>Anyone/general public,Individual/Family</t>
        </is>
      </c>
      <c r="I9" s="11" t="inlineStr">
        <is>
          <t>Individual/Family</t>
        </is>
      </c>
      <c r="J9" s="16" t="n">
        <v>0</v>
      </c>
      <c r="K9" s="16" t="n">
        <v>0</v>
      </c>
      <c r="L9" s="16" t="n">
        <v>0</v>
      </c>
      <c r="M9" s="11" t="inlineStr">
        <is>
          <t>[{"x":"2023","sam_estimate":0.0,"sam_actual":0.0,"usa_spending_actual":0.0},{"x":"2024","sam_estimate":0.0,"sam_actual":0.0,"usa_spending_actual":0.0},{"x":"2025","sam_estimate":0.0,"sam_actual":0.0,"usa_spending_actual":0.0}]</t>
        </is>
      </c>
    </row>
    <row r="10" ht="225" customHeight="1">
      <c r="A10" s="11" t="inlineStr">
        <is>
          <t>14.122</t>
        </is>
      </c>
      <c r="B10" s="11" t="inlineStr">
        <is>
          <t>Mortgage Insurance Homes in Urban Renewal Areas</t>
        </is>
      </c>
      <c r="C10" s="11" t="inlineStr">
        <is>
          <t>(220 Homes)</t>
        </is>
      </c>
      <c r="D10" s="11" t="inlineStr">
        <is>
          <t>Department of Housing and Urban Development</t>
        </is>
      </c>
      <c r="E10" s="11" t="inlineStr">
        <is>
          <t>Assistant Secretary for Housing -- Federal Housing Commissioner</t>
        </is>
      </c>
      <c r="F10" s="11" t="inlineStr">
        <is>
          <t>To help eligible entities to purchase and/or rehabilitate homes in urban renewal areas.</t>
        </is>
      </c>
      <c r="G10" s="11" t="inlineStr">
        <is>
          <t>Guaranteed / Insured Loans</t>
        </is>
      </c>
      <c r="H10" s="11" t="inlineStr">
        <is>
          <t>Anyone/general public,Individual/Family</t>
        </is>
      </c>
      <c r="I10" s="11" t="inlineStr">
        <is>
          <t>Anyone/general public,Individual/Family,Local (includes State-designated lndian Tribes, excludes institutions of higher education and hospitals,Non-Government - General,Other private institutions/organizations,Other public institution/organization,Private nonprofit institution/organization (includes institutions of higher education and hospitals),Profit organization,Public nonprofit institution/organization (includes institutions of higher education and hospitals),Sponsored organization,State</t>
        </is>
      </c>
      <c r="J10" s="16" t="n">
        <v>0</v>
      </c>
      <c r="K10" s="16" t="n">
        <v>0</v>
      </c>
      <c r="L10" s="16" t="n">
        <v>0</v>
      </c>
      <c r="M10" s="11" t="inlineStr">
        <is>
          <t>[{"x":"2023","sam_estimate":0.0,"sam_actual":0.0,"usa_spending_actual":0.0},{"x":"2024","sam_estimate":0.0,"sam_actual":0.0,"usa_spending_actual":0.0},{"x":"2025","sam_estimate":0.0,"sam_actual":0.0,"usa_spending_actual":0.0}]</t>
        </is>
      </c>
    </row>
    <row r="11" ht="113.25" customHeight="1">
      <c r="A11" s="11" t="inlineStr">
        <is>
          <t>14.126</t>
        </is>
      </c>
      <c r="B11" s="11" t="inlineStr">
        <is>
          <t>Mortgage Insurance Cooperative Projects</t>
        </is>
      </c>
      <c r="C11" s="11" t="inlineStr">
        <is>
          <t>Cooperative Housing Mortgage Insurance - Section 213</t>
        </is>
      </c>
      <c r="D11" s="11" t="inlineStr">
        <is>
          <t>Department of Housing and Urban Development</t>
        </is>
      </c>
      <c r="E11" s="11" t="inlineStr">
        <is>
          <t>Assistant Secretary for Housing -- Federal Housing Commissioner</t>
        </is>
      </c>
      <c r="F11" s="11" t="inlineStr">
        <is>
          <t>Enables nonprofit cooperative ownership housing corporations or trusts to develop or sponsor the development of housing projects to be operated as cooperatives.  Section 213 allows investors to provide good quality multifamily housing to be sold to such nonprofit corporations or trusts upon completion of construction or rehabilitation.</t>
        </is>
      </c>
      <c r="G11" s="11" t="inlineStr">
        <is>
          <t>Guaranteed / Insured Loans</t>
        </is>
      </c>
      <c r="H11" s="11" t="inlineStr">
        <is>
          <t>Private nonprofit institution/organization,Profit organization,Public nonprofit institution/organization,Sponsored organization</t>
        </is>
      </c>
      <c r="I11" s="11" t="inlineStr">
        <is>
          <t>Private nonprofit institution/organization (includes institutions of higher education and hospitals),Public nonprofit institution/organization (includes institutions of higher education and hospitals),Quasi-public nonprofit institution/organization</t>
        </is>
      </c>
      <c r="J11" s="16" t="n">
        <v>0</v>
      </c>
      <c r="K11" s="16" t="n">
        <v>0</v>
      </c>
      <c r="L11" s="16" t="n">
        <v>0</v>
      </c>
      <c r="M11" s="11" t="inlineStr">
        <is>
          <t>[{"x":"2023","sam_estimate":0.0,"sam_actual":0.0,"usa_spending_actual":0.0},{"x":"2024","sam_estimate":0.0,"sam_actual":0.0,"usa_spending_actual":0.0},{"x":"2025","sam_estimate":0.0,"sam_actual":0.0,"usa_spending_actual":0.0}]</t>
        </is>
      </c>
    </row>
    <row r="12" ht="68.25" customHeight="1">
      <c r="A12" s="11" t="inlineStr">
        <is>
          <t>14.128</t>
        </is>
      </c>
      <c r="B12" s="11" t="inlineStr">
        <is>
          <t>Mortgage Insurance Hospitals</t>
        </is>
      </c>
      <c r="C12" s="11" t="inlineStr">
        <is>
          <t>(Section 242 - Mortgage Insurance for Hospitals)</t>
        </is>
      </c>
      <c r="D12" s="11" t="inlineStr">
        <is>
          <t>Department of Housing and Urban Development</t>
        </is>
      </c>
      <c r="E12" s="11" t="inlineStr">
        <is>
          <t>Assistant Secretary for Housing -- Federal Housing Commissioner</t>
        </is>
      </c>
      <c r="F12" s="11" t="inlineStr">
        <is>
          <t>To facilitate the affordable financing of hospitals for the care and treatment of persons who are acutely ill or who otherwise require medical care and related services of the kind customarily furnished only or most effectively by hospitals.</t>
        </is>
      </c>
      <c r="G12" s="11" t="inlineStr">
        <is>
          <t>Guaranteed / Insured Loans</t>
        </is>
      </c>
      <c r="H12" s="11" t="inlineStr">
        <is>
          <t>Disabled (e.g. Deaf, Blind, Physically Disabled),Individual/Family,Physically Afflicted (e.g. TB, Arthritis, Heart Disease)</t>
        </is>
      </c>
      <c r="I12" s="11" t="inlineStr">
        <is>
          <t>Private nonprofit institution/organization (includes institutions of higher education and hospitals),Profit organization</t>
        </is>
      </c>
      <c r="J12" s="16" t="n">
        <v>0</v>
      </c>
      <c r="K12" s="16" t="n">
        <v>0</v>
      </c>
      <c r="L12" s="16" t="n">
        <v>0</v>
      </c>
      <c r="M12" s="11" t="inlineStr">
        <is>
          <t>[{"x":"2023","sam_estimate":0.0,"sam_actual":482000000.0,"usa_spending_actual":0.0},{"x":"2024","sam_estimate":0.0,"sam_actual":960000000.0,"usa_spending_actual":0.0},{"x":"2025","sam_estimate":0.0,"sam_actual":0.0,"usa_spending_actual":0.0}]</t>
        </is>
      </c>
    </row>
    <row r="13" ht="102" customHeight="1">
      <c r="A13" s="11" t="inlineStr">
        <is>
          <t>14.129</t>
        </is>
      </c>
      <c r="B13" s="11" t="inlineStr">
        <is>
          <t>Mortgage Insurance Nursing Homes, Intermediate Care Facilities, Board and Care Homes and Assisted Living Facilities</t>
        </is>
      </c>
      <c r="C13" s="11" t="inlineStr">
        <is>
          <t>Section (232)</t>
        </is>
      </c>
      <c r="D13" s="11" t="inlineStr">
        <is>
          <t>Department of Housing and Urban Development</t>
        </is>
      </c>
      <c r="E13" s="11" t="inlineStr">
        <is>
          <t>Assistant Secretary for Housing -- Federal Housing Commissioner</t>
        </is>
      </c>
      <c r="F13" s="11" t="inlineStr">
        <is>
          <t>To provide mortgage insurance to HUD-approved lenders to facilitate the construction or rehabilitation of nursing homes, intermediate care facilities, board and care homes and assisted living facilities, to allow purchase or refinancing with or without repairs of projects not requiring  substantial rehabilitation, and to provide loan insurance to install  fire safety equipment.</t>
        </is>
      </c>
      <c r="G13" s="11" t="inlineStr">
        <is>
          <t>Guaranteed / Insured Loans</t>
        </is>
      </c>
      <c r="H13" s="11" t="inlineStr">
        <is>
          <t>Disabled (e.g. Deaf, Blind, Physically Disabled),Physically Afflicted (e.g. TB, Arthritis, Heart Disease)</t>
        </is>
      </c>
      <c r="I13" s="11" t="inlineStr">
        <is>
          <t>Other private institutions/organizations,Private nonprofit institution/organization (includes institutions of higher education and hospitals),Profit organization,Specialized group (e.g. health professionals, students, veterans)</t>
        </is>
      </c>
      <c r="J13" s="16" t="n">
        <v>0</v>
      </c>
      <c r="K13" s="16" t="n">
        <v>0</v>
      </c>
      <c r="L13" s="16" t="n">
        <v>0</v>
      </c>
      <c r="M13" s="11" t="inlineStr">
        <is>
          <t>[{"x":"2023","sam_estimate":0.0,"sam_actual":3142000000.0,"usa_spending_actual":0.0},{"x":"2024","sam_estimate":0.0,"sam_actual":3142000000.0,"usa_spending_actual":0.0},{"x":"2025","sam_estimate":0.0,"sam_actual":0.0,"usa_spending_actual":0.0}]</t>
        </is>
      </c>
    </row>
    <row r="14" ht="68.25" customHeight="1">
      <c r="A14" s="11" t="inlineStr">
        <is>
          <t>14.133</t>
        </is>
      </c>
      <c r="B14" s="11" t="inlineStr">
        <is>
          <t>Mortgage Insurance Purchase of Units in Condominiums</t>
        </is>
      </c>
      <c r="C14" s="11" t="inlineStr">
        <is>
          <t>Mortgage Insurance- Condominium Units</t>
        </is>
      </c>
      <c r="D14" s="11" t="inlineStr">
        <is>
          <t>Department of Housing and Urban Development</t>
        </is>
      </c>
      <c r="E14" s="11" t="inlineStr">
        <is>
          <t>Assistant Secretary for Housing -- Federal Housing Commissioner</t>
        </is>
      </c>
      <c r="F14" s="11" t="inlineStr">
        <is>
          <t>To enable individuals and families to purchase or refinance eligible units in  condominium projects.</t>
        </is>
      </c>
      <c r="G14" s="11" t="inlineStr">
        <is>
          <t>Guaranteed / Insured Loans</t>
        </is>
      </c>
      <c r="H14" s="11" t="inlineStr">
        <is>
          <t>Anyone/general public,Individual/Family</t>
        </is>
      </c>
      <c r="I14" s="11" t="inlineStr">
        <is>
          <t>Individual/Family</t>
        </is>
      </c>
      <c r="J14" s="16" t="n">
        <v>0</v>
      </c>
      <c r="K14" s="16" t="n">
        <v>0</v>
      </c>
      <c r="L14" s="16" t="n">
        <v>0</v>
      </c>
      <c r="M14" s="11" t="inlineStr">
        <is>
          <t>[{"x":"2023","sam_estimate":0.0,"sam_actual":0.0,"usa_spending_actual":0.0},{"x":"2024","sam_estimate":0.0,"sam_actual":0.0,"usa_spending_actual":0.0},{"x":"2025","sam_estimate":0.0,"sam_actual":0.0,"usa_spending_actual":0.0}]</t>
        </is>
      </c>
    </row>
    <row r="15" ht="90.75" customHeight="1">
      <c r="A15" s="11" t="inlineStr">
        <is>
          <t>14.134</t>
        </is>
      </c>
      <c r="B15" s="11" t="inlineStr">
        <is>
          <t>Mortgage Insurance Rental Housing</t>
        </is>
      </c>
      <c r="C15" s="11" t="inlineStr">
        <is>
          <t>Mortgage Insurance for Rental Housing -Section 207</t>
        </is>
      </c>
      <c r="D15" s="11" t="inlineStr">
        <is>
          <t>Department of Housing and Urban Development</t>
        </is>
      </c>
      <c r="E15" s="11" t="inlineStr">
        <is>
          <t>Assistant Secretary for Housing -- Federal Housing Commissioner</t>
        </is>
      </c>
      <c r="F15" s="11" t="inlineStr">
        <is>
          <t>HUD insures mortgage loans to finance the construction or rehabilitation of a broad range of multifamily rental housing through a variety of programs linked in the Related Federal Assistance section. Though Section 207 itself is no longer active, this assistance listing is used to provide total FHA multifamily mortgage commitments across those programs. Due to challenges in breaking out projected commitments by each listing, the activity is summed and reported here.</t>
        </is>
      </c>
      <c r="G15" s="11" t="inlineStr">
        <is>
          <t>Guaranteed / Insured Loans</t>
        </is>
      </c>
      <c r="H15" s="11" t="inlineStr">
        <is>
          <t>Anyone/general public,Individual/Family</t>
        </is>
      </c>
      <c r="I15" s="11" t="inlineStr">
        <is>
          <t>Other private institutions/organizations,Private nonprofit institution/organization (includes institutions of higher education and hospitals),Profit organization</t>
        </is>
      </c>
      <c r="J15" s="16" t="n">
        <v>0</v>
      </c>
      <c r="K15" s="16" t="n">
        <v>0</v>
      </c>
      <c r="L15" s="16" t="n">
        <v>0</v>
      </c>
      <c r="M15" s="11" t="inlineStr">
        <is>
          <t>[{"x":"2023","sam_estimate":0.0,"sam_actual":19214000000.0,"usa_spending_actual":0.0},{"x":"2024","sam_estimate":0.0,"sam_actual":17513000000.0,"usa_spending_actual":0.0},{"x":"2025","sam_estimate":0.0,"sam_actual":0.0,"usa_spending_actual":0.0}]</t>
        </is>
      </c>
    </row>
    <row r="16" ht="102" customHeight="1">
      <c r="A16" s="11" t="inlineStr">
        <is>
          <t>14.135</t>
        </is>
      </c>
      <c r="B16" s="11" t="inlineStr">
        <is>
          <t>Mortgage Insurance Rental and Cooperative Housing for Moderate Income Families and Elderly, Market Interest Rate</t>
        </is>
      </c>
      <c r="C16" s="11" t="inlineStr">
        <is>
          <t>New Construction or Substantial Rehabilitation of Rental Housing -221(d)(4)</t>
        </is>
      </c>
      <c r="D16" s="11" t="inlineStr">
        <is>
          <t>Department of Housing and Urban Development</t>
        </is>
      </c>
      <c r="E16" s="11" t="inlineStr">
        <is>
          <t>Assistant Secretary for Housing -- Federal Housing Commissioner</t>
        </is>
      </c>
      <c r="F16" s="11" t="inlineStr">
        <is>
          <t>Section 221(d)(4) insures mortgage loans to facilitate the new construction or substantial rehabilitation of multifamily rental or cooperative housing for moderate-income families, elderly, and the handicapped. Single Room Occupancy (SRO) projects may also be insured under this section. (See program 14.184).</t>
        </is>
      </c>
      <c r="G16" s="11" t="inlineStr">
        <is>
          <t>Guaranteed / Insured Loans</t>
        </is>
      </c>
      <c r="H16" s="11" t="inlineStr">
        <is>
          <t>Anyone/general public,Individual/Family,Private nonprofit institution/organization,Profit organization,Public nonprofit institution/organization</t>
        </is>
      </c>
      <c r="I16" s="11" t="inlineStr">
        <is>
          <t>Individual/Family,Private nonprofit institution/organization (includes institutions of higher education and hospitals),Profit organization,Public nonprofit institution/organization (includes institutions of higher education and hospitals)</t>
        </is>
      </c>
      <c r="J16" s="16" t="n">
        <v>0</v>
      </c>
      <c r="K16" s="16" t="n">
        <v>0</v>
      </c>
      <c r="L16" s="16" t="n">
        <v>0</v>
      </c>
      <c r="M16" s="11" t="inlineStr">
        <is>
          <t>[{"x":"2023","sam_estimate":0.0,"sam_actual":0.0,"usa_spending_actual":0.0},{"x":"2024","sam_estimate":0.0,"sam_actual":0.0,"usa_spending_actual":0.0},{"x":"2025","sam_estimate":0.0,"sam_actual":0.0,"usa_spending_actual":0.0}]</t>
        </is>
      </c>
    </row>
    <row r="17" ht="124.5" customHeight="1">
      <c r="A17" s="11" t="inlineStr">
        <is>
          <t>14.138</t>
        </is>
      </c>
      <c r="B17" s="11" t="inlineStr">
        <is>
          <t>Mortgage Insurance Rental Housing for the Elderly</t>
        </is>
      </c>
      <c r="C17" s="11" t="inlineStr">
        <is>
          <t>New Construction and Substantial Rehabilitation for Rental Housing for the Elderly - Section 231</t>
        </is>
      </c>
      <c r="D17" s="11" t="inlineStr">
        <is>
          <t>Department of Housing and Urban Development</t>
        </is>
      </c>
      <c r="E17" s="11" t="inlineStr">
        <is>
          <t>Assistant Secretary for Housing -- Federal Housing Commissioner</t>
        </is>
      </c>
      <c r="F17" s="11" t="inlineStr">
        <is>
          <t>To provide quality rental housing for the elderly.</t>
        </is>
      </c>
      <c r="G17" s="11" t="inlineStr">
        <is>
          <t>Guaranteed / Insured Loans</t>
        </is>
      </c>
      <c r="H17" s="11" t="inlineStr">
        <is>
          <t>Anyone/general public,Disabled (e.g. Deaf, Blind, Physically Disabled),Physically Afflicted (e.g. TB, Arthritis, Heart Disease),Private nonprofit institution/organization,Profit organization,Public nonprofit institution/organization,Senior Citizen (60+)</t>
        </is>
      </c>
      <c r="I17" s="11" t="inlineStr">
        <is>
          <t>Private nonprofit institution/organization (includes institutions of higher education and hospitals),Profit organization,Public nonprofit institution/organization (includes institutions of higher education and hospitals),Specialized group (e.g. health professionals, students, veterans)</t>
        </is>
      </c>
      <c r="J17" s="16" t="n">
        <v>0</v>
      </c>
      <c r="K17" s="16" t="n">
        <v>0</v>
      </c>
      <c r="L17" s="16" t="n">
        <v>0</v>
      </c>
      <c r="M17" s="11" t="inlineStr">
        <is>
          <t>[{"x":"2023","sam_estimate":0.0,"sam_actual":0.0,"usa_spending_actual":0.0},{"x":"2024","sam_estimate":0.0,"sam_actual":0.0,"usa_spending_actual":0.0},{"x":"2025","sam_estimate":0.0,"sam_actual":0.0,"usa_spending_actual":0.0}]</t>
        </is>
      </c>
    </row>
    <row r="18" ht="135.75" customHeight="1">
      <c r="A18" s="11" t="inlineStr">
        <is>
          <t>14.139</t>
        </is>
      </c>
      <c r="B18" s="11" t="inlineStr">
        <is>
          <t>Mortgage Insurance Rental Housing in Urban Renewal Areas</t>
        </is>
      </c>
      <c r="C18" s="11" t="inlineStr">
        <is>
          <t>Multifamily Rental Projects in Designated Areas - Section 220</t>
        </is>
      </c>
      <c r="D18" s="11" t="inlineStr">
        <is>
          <t>Department of Housing and Urban Development</t>
        </is>
      </c>
      <c r="E18" s="11" t="inlineStr">
        <is>
          <t>Assistant Secretary for Housing -- Federal Housing Commissioner</t>
        </is>
      </c>
      <c r="F18" s="11" t="inlineStr">
        <is>
          <t>To provide quality rental housing in urban renewal areas, code enforcement areas, and other areas designated for overall revitalization.</t>
        </is>
      </c>
      <c r="G18" s="11" t="inlineStr">
        <is>
          <t>Guaranteed / Insured Loans</t>
        </is>
      </c>
      <c r="H18" s="11" t="inlineStr">
        <is>
          <t>Individual/Family</t>
        </is>
      </c>
      <c r="I18" s="11" t="inlineStr">
        <is>
          <t>Individual/Family,Private nonprofit institution/organization (includes institutions of higher education and hospitals),Profit organization,Public nonprofit institution/organization (includes institutions of higher education and hospitals),Specialized group (e.g. health professionals, students, veterans)</t>
        </is>
      </c>
      <c r="J18" s="16" t="n">
        <v>0</v>
      </c>
      <c r="K18" s="16" t="n">
        <v>0</v>
      </c>
      <c r="L18" s="16" t="n">
        <v>0</v>
      </c>
      <c r="M18" s="11" t="inlineStr">
        <is>
          <t>[{"x":"2023","sam_estimate":0.0,"sam_actual":0.0,"usa_spending_actual":0.0},{"x":"2024","sam_estimate":0.0,"sam_actual":0.0,"usa_spending_actual":0.0},{"x":"2025","sam_estimate":0.0,"sam_actual":0.0,"usa_spending_actual":0.0}]</t>
        </is>
      </c>
    </row>
    <row r="19" ht="68.25" customHeight="1">
      <c r="A19" s="11" t="inlineStr">
        <is>
          <t>14.142</t>
        </is>
      </c>
      <c r="B19" s="11" t="inlineStr">
        <is>
          <t>Property Improvement Loan Insurance for Improving All Existing Structures and Building of New Nonresidential Structures</t>
        </is>
      </c>
      <c r="C19" s="11" t="inlineStr">
        <is>
          <t>Property Improvement Loans (Title I-PI)</t>
        </is>
      </c>
      <c r="D19" s="11" t="inlineStr">
        <is>
          <t>Department of Housing and Urban Development</t>
        </is>
      </c>
      <c r="E19" s="11" t="inlineStr">
        <is>
          <t>Assistant Secretary for Housing -- Federal Housing Commissioner</t>
        </is>
      </c>
      <c r="F19" s="11" t="inlineStr">
        <is>
          <t>To facilitate the financing of improvements to homes and other property types.</t>
        </is>
      </c>
      <c r="G19" s="11" t="inlineStr">
        <is>
          <t>Sale, Exchange, or Donation of Property or Goods</t>
        </is>
      </c>
      <c r="H19" s="11" t="inlineStr">
        <is>
          <t>Land/Property Owner</t>
        </is>
      </c>
      <c r="I19" s="11" t="inlineStr">
        <is>
          <t>Individual/Family,Profit organization</t>
        </is>
      </c>
      <c r="J19" s="16" t="n">
        <v>0</v>
      </c>
      <c r="K19" s="16" t="n">
        <v>0</v>
      </c>
      <c r="L19" s="16" t="n">
        <v>0</v>
      </c>
      <c r="M19" s="11" t="inlineStr">
        <is>
          <t>[{"x":"2023","sam_estimate":0.0,"sam_actual":18000000.0,"usa_spending_actual":0.0},{"x":"2024","sam_estimate":0.0,"sam_actual":16000000.0,"usa_spending_actual":0.0},{"x":"2025","sam_estimate":0.0,"sam_actual":0.0,"usa_spending_actual":0.0}]</t>
        </is>
      </c>
    </row>
    <row r="20" ht="124.5" customHeight="1">
      <c r="A20" s="11" t="inlineStr">
        <is>
          <t>14.151</t>
        </is>
      </c>
      <c r="B20" s="11" t="inlineStr">
        <is>
          <t>Supplemental Loan Insurance Multifamily Rental Housing</t>
        </is>
      </c>
      <c r="C20" s="11" t="inlineStr">
        <is>
          <t>FHA Insured Rental Housing Supplemental Loans - 241(a)</t>
        </is>
      </c>
      <c r="D20" s="11" t="inlineStr">
        <is>
          <t>Department of Housing and Urban Development</t>
        </is>
      </c>
      <c r="E20" s="11" t="inlineStr">
        <is>
          <t>Assistant Secretary for Housing -- Federal Housing Commissioner</t>
        </is>
      </c>
      <c r="F20" s="11" t="inlineStr">
        <is>
          <t>Section 241(a) insures lenders against loss on mortgage defaults on projects already insured by HUD or held by HUD. The program is intended to keep the project competitive, extend its economic life, and to finance the replacement of obsolete equipment. Insured mortgages finance repairs, additions, and improvements to multifamily projects, group practice facilities, hospitals, or nursing homes.</t>
        </is>
      </c>
      <c r="G20" s="11" t="inlineStr">
        <is>
          <t>Guaranteed / Insured Loans</t>
        </is>
      </c>
      <c r="H20" s="11" t="inlineStr">
        <is>
          <t>Land/Property Owner</t>
        </is>
      </c>
      <c r="I20" s="11" t="inlineStr">
        <is>
          <t>Private nonprofit institution/organization (includes institutions of higher education and hospitals),Profit organization,Public nonprofit institution/organization (includes institutions of higher education and hospitals),Specialized group (e.g. health professionals, students, veterans)</t>
        </is>
      </c>
      <c r="J20" s="16" t="n">
        <v>0</v>
      </c>
      <c r="K20" s="16" t="n">
        <v>0</v>
      </c>
      <c r="L20" s="16" t="n">
        <v>0</v>
      </c>
      <c r="M20" s="11" t="inlineStr">
        <is>
          <t>[{"x":"2023","sam_estimate":0.0,"sam_actual":0.0,"usa_spending_actual":0.0},{"x":"2024","sam_estimate":0.0,"sam_actual":0.0,"usa_spending_actual":0.0},{"x":"2025","sam_estimate":0.0,"sam_actual":0.0,"usa_spending_actual":0.0}]</t>
        </is>
      </c>
    </row>
    <row r="21" ht="102" customHeight="1">
      <c r="A21" s="11" t="inlineStr">
        <is>
          <t>14.155</t>
        </is>
      </c>
      <c r="B21" s="11" t="inlineStr">
        <is>
          <t>Mortgage Insurance for the Purchase or Refinancing of Existing Multifamily Housing Projects</t>
        </is>
      </c>
      <c r="C21" s="11" t="inlineStr">
        <is>
          <t>Multifamily Rental Property Purchase or Refi - Section 223(f)</t>
        </is>
      </c>
      <c r="D21" s="11" t="inlineStr">
        <is>
          <t>Department of Housing and Urban Development</t>
        </is>
      </c>
      <c r="E21" s="11" t="inlineStr">
        <is>
          <t>Assistant Secretary for Housing -- Federal Housing Commissioner</t>
        </is>
      </c>
      <c r="F21" s="11" t="inlineStr">
        <is>
          <t>To provide mortgage insurance to HUD-approved lenders for the purchase or refinancing of existing multifamily housing projects, whether conventionally financed or subject to federally insured mortgages at the time of application for mortgage insurance. The program allows for the long term mortgages that can be financed with Ginnie Mae Mortgage-Backed Securities.</t>
        </is>
      </c>
      <c r="G21" s="11" t="inlineStr">
        <is>
          <t>Guaranteed / Insured Loans</t>
        </is>
      </c>
      <c r="H21" s="11" t="inlineStr">
        <is>
          <t>Anyone/general public</t>
        </is>
      </c>
      <c r="I21" s="11" t="inlineStr">
        <is>
          <t>Anyone/general public,Private nonprofit institution/organization (includes institutions of higher education and hospitals),Profit organization,Public nonprofit institution/organization (includes institutions of higher education and hospitals)</t>
        </is>
      </c>
      <c r="J21" s="16" t="n">
        <v>0</v>
      </c>
      <c r="K21" s="16" t="n">
        <v>0</v>
      </c>
      <c r="L21" s="16" t="n">
        <v>0</v>
      </c>
      <c r="M21" s="11" t="inlineStr">
        <is>
          <t>[{"x":"2023","sam_estimate":0.0,"sam_actual":0.0,"usa_spending_actual":0.0},{"x":"2024","sam_estimate":0.0,"sam_actual":0.0,"usa_spending_actual":0.0},{"x":"2025","sam_estimate":0.0,"sam_actual":0.0,"usa_spending_actual":0.0}]</t>
        </is>
      </c>
    </row>
    <row r="22" ht="68.25" customHeight="1">
      <c r="A22" s="11" t="inlineStr">
        <is>
          <t>14.157</t>
        </is>
      </c>
      <c r="B22" s="11" t="inlineStr">
        <is>
          <t>Supportive Housing for the Elderly</t>
        </is>
      </c>
      <c r="C22" s="11" t="inlineStr">
        <is>
          <t>Section 202 Capital Advance</t>
        </is>
      </c>
      <c r="D22" s="11" t="inlineStr">
        <is>
          <t>Department of Housing and Urban Development</t>
        </is>
      </c>
      <c r="E22" s="11" t="inlineStr">
        <is>
          <t>Assistant Secretary for Housing -- Federal Housing Commissioner</t>
        </is>
      </c>
      <c r="F22" s="11" t="inlineStr">
        <is>
          <t>To expand the supply of multifamily housing with supportive services for very low income elderly persons.</t>
        </is>
      </c>
      <c r="G22" s="11" t="inlineStr">
        <is>
          <t>Project Grants</t>
        </is>
      </c>
      <c r="H22" s="11" t="inlineStr">
        <is>
          <t>Low Income,Senior Citizen (60+)</t>
        </is>
      </c>
      <c r="I22" s="11" t="inlineStr">
        <is>
          <t>Private nonprofit institution/organization (includes institutions of higher education and hospitals)</t>
        </is>
      </c>
      <c r="J22" s="16" t="n">
        <v>0</v>
      </c>
      <c r="K22" s="16" t="n">
        <v>1021136334.04</v>
      </c>
      <c r="L22" s="16" t="n">
        <v>751339942.5</v>
      </c>
      <c r="M22" s="11" t="inlineStr">
        <is>
          <t>[{"x":"2023","sam_estimate":0.0,"sam_actual":110000000.0,"usa_spending_actual":751339942.5},{"x":"2024","sam_estimate":0.0,"sam_actual":110000000.0,"usa_spending_actual":1021136334.04},{"x":"2025","sam_estimate":0.0,"sam_actual":0.0,"usa_spending_actual":139886847.0}]</t>
        </is>
      </c>
    </row>
    <row r="23" ht="68.25" customHeight="1">
      <c r="A23" s="11" t="inlineStr">
        <is>
          <t>14.162</t>
        </is>
      </c>
      <c r="B23" s="11" t="inlineStr">
        <is>
          <t>Mortgage Insurance Combination and Manufactured Home Lot Loans</t>
        </is>
      </c>
      <c r="C23" s="11" t="inlineStr">
        <is>
          <t>Mortgage Insurance- Land and Manufactured Home or MH lot-(Title I)</t>
        </is>
      </c>
      <c r="D23" s="11" t="inlineStr">
        <is>
          <t>Department of Housing and Urban Development</t>
        </is>
      </c>
      <c r="E23" s="11" t="inlineStr">
        <is>
          <t>Assistant Secretary for Housing -- Federal Housing Commissioner</t>
        </is>
      </c>
      <c r="F23" s="11" t="inlineStr">
        <is>
          <t>To make possible reasonable financing for the purchase of a manufactured home and/or a lot on which to place the home.</t>
        </is>
      </c>
      <c r="G23" s="11" t="inlineStr">
        <is>
          <t>Sale, Exchange, or Donation of Property or Goods</t>
        </is>
      </c>
      <c r="H23" s="11" t="inlineStr">
        <is>
          <t>Anyone/general public</t>
        </is>
      </c>
      <c r="I23" s="11" t="inlineStr">
        <is>
          <t>Individual/Family</t>
        </is>
      </c>
      <c r="J23" s="16" t="n">
        <v>0</v>
      </c>
      <c r="K23" s="16" t="n">
        <v>0</v>
      </c>
      <c r="L23" s="16" t="n">
        <v>0</v>
      </c>
      <c r="M23" s="11" t="inlineStr">
        <is>
          <t>[{"x":"2023","sam_estimate":0.0,"sam_actual":0.0,"usa_spending_actual":0.0},{"x":"2024","sam_estimate":0.0,"sam_actual":0.0,"usa_spending_actual":0.0},{"x":"2025","sam_estimate":0.0,"sam_actual":0.0,"usa_spending_actual":0.0}]</t>
        </is>
      </c>
    </row>
    <row r="24" ht="247.5" customHeight="1">
      <c r="A24" s="11" t="inlineStr">
        <is>
          <t>14.169</t>
        </is>
      </c>
      <c r="B24" s="11" t="inlineStr">
        <is>
          <t>Housing Counseling Assistance Program</t>
        </is>
      </c>
      <c r="C24" s="11" t="inlineStr">
        <is>
          <t>Comprehensive Housing Counseling NOFA</t>
        </is>
      </c>
      <c r="D24" s="11" t="inlineStr">
        <is>
          <t>Department of Housing and Urban Development</t>
        </is>
      </c>
      <c r="E24" s="11" t="inlineStr">
        <is>
          <t>Assistant Secretary for Housing -- Federal Housing Commissioner</t>
        </is>
      </c>
      <c r="F24" s="11" t="inlineStr">
        <is>
          <t>Provide funds to HUD-approved housing counseling agencies that provide counseling and advice to tenants and homeowners, with respect to property maintenance, financial management and literacy, and other matters as may be appropriate to assist program clients in improving their housing conditions, meeting their financial needs, and fulfilling the responsibilities of tenancy or homeownership.</t>
        </is>
      </c>
      <c r="G24" s="11" t="inlineStr">
        <is>
          <t>Project Grants</t>
        </is>
      </c>
      <c r="H24" s="11" t="inlineStr">
        <is>
          <t>Federal,Local,Other private institution/organization,Other public institution/organization,Private nonprofit institution/organization,Profit organization,Public nonprofit institution/organization,State</t>
        </is>
      </c>
      <c r="I24" s="11" t="inlineStr">
        <is>
          <t>Federal,Intrastate,Local (includes State-designated lndian Tribes, excludes institutions of higher education and hospitals,Other private institutions/organizations,Other public institution/organization,Private nonprofit institution/organization (includes institutions of higher education and hospitals),Public nonprofit institution/organization (includes institutions of higher education and hospitals),Specialized group (e.g. health professionals, students, veterans),State (includes District of Columbia, public institutions of higher education and hospitals)</t>
        </is>
      </c>
      <c r="J24" s="16" t="n">
        <v>0</v>
      </c>
      <c r="K24" s="16" t="n">
        <v>84759423.72</v>
      </c>
      <c r="L24" s="16" t="n">
        <v>13890177.88</v>
      </c>
      <c r="M24" s="11" t="inlineStr">
        <is>
          <t>[{"x":"2023","sam_estimate":0.0,"sam_actual":67000000.0,"usa_spending_actual":13890177.88},{"x":"2024","sam_estimate":0.0,"sam_actual":61000000.0,"usa_spending_actual":84759423.72},{"x":"2025","sam_estimate":0.0,"sam_actual":0.0,"usa_spending_actual":-30901.23}]</t>
        </is>
      </c>
    </row>
    <row r="25" ht="68.25" customHeight="1">
      <c r="A25" s="11" t="inlineStr">
        <is>
          <t>14.171</t>
        </is>
      </c>
      <c r="B25" s="11" t="inlineStr">
        <is>
          <t>Manufactured Housing</t>
        </is>
      </c>
      <c r="C25" s="11" t="inlineStr">
        <is>
          <t>Manufactured Housing</t>
        </is>
      </c>
      <c r="D25" s="11" t="inlineStr">
        <is>
          <t>Department of Housing and Urban Development</t>
        </is>
      </c>
      <c r="E25" s="11" t="inlineStr">
        <is>
          <t>Assistant Secretary for Housing -- Federal Housing Commissioner</t>
        </is>
      </c>
      <c r="F25" s="11" t="inlineStr">
        <is>
          <t>Administers the National Manufactured Housing Construction and Safety Standards Act of 1974 (the Act) which authorizes HUD to establish federal standards for the design and construction of manufactured homes to assure quality, durability, safety, and affordability.</t>
        </is>
      </c>
      <c r="G25" s="11" t="inlineStr">
        <is>
          <t>Provision of Specialized Services</t>
        </is>
      </c>
      <c r="H25" s="11" t="inlineStr">
        <is>
          <t>Anyone/general public,Homeowner,Individual/Family,Profit organization</t>
        </is>
      </c>
      <c r="I25" s="11" t="inlineStr">
        <is>
          <t>Individual/Family,Profit organization</t>
        </is>
      </c>
      <c r="J25" s="16" t="n">
        <v>0</v>
      </c>
      <c r="K25" s="16" t="n">
        <v>4041273</v>
      </c>
      <c r="L25" s="16" t="n">
        <v>3754489</v>
      </c>
      <c r="M25" s="11" t="inlineStr">
        <is>
          <t>[{"x":"2023","sam_estimate":0.0,"sam_actual":14000000.0,"usa_spending_actual":3754489.0},{"x":"2024","sam_estimate":0.0,"sam_actual":14000000.0,"usa_spending_actual":4041273.0},{"x":"2025","sam_estimate":0.0,"sam_actual":0.0,"usa_spending_actual":916879.0}]</t>
        </is>
      </c>
    </row>
    <row r="26" ht="79.5" customHeight="1">
      <c r="A26" s="11" t="inlineStr">
        <is>
          <t>14.175</t>
        </is>
      </c>
      <c r="B26" s="11" t="inlineStr">
        <is>
          <t>Adjustable Rate Mortgages</t>
        </is>
      </c>
      <c r="C26" s="11" t="inlineStr">
        <is>
          <t>Home Mortgage Insurance- Adjustable Rate Mortgages</t>
        </is>
      </c>
      <c r="D26" s="11" t="inlineStr">
        <is>
          <t>Department of Housing and Urban Development</t>
        </is>
      </c>
      <c r="E26" s="11" t="inlineStr">
        <is>
          <t>Assistant Secretary for Housing -- Federal Housing Commissioner</t>
        </is>
      </c>
      <c r="F26" s="11" t="inlineStr">
        <is>
          <t>To provide mortgage insurance for an adjustable rate mortgage which may offer a lower interest rate initially that a fixed rate mortgage, and which remains constant for an initial period of 1, 3, 5, 7 or 10 years.  The interest rate may then change annually for the remainder of the mortgage term.   The loan structure provides built-in limits or safeguards for both consumers and lenders, designed to minimize the effect of any rapid rise in interest rates.</t>
        </is>
      </c>
      <c r="G26" s="11" t="inlineStr">
        <is>
          <t>Guaranteed / Insured Loans</t>
        </is>
      </c>
      <c r="H26" s="11" t="inlineStr">
        <is>
          <t>Individual/Family</t>
        </is>
      </c>
      <c r="I26" s="11" t="inlineStr">
        <is>
          <t>Individual/Family</t>
        </is>
      </c>
      <c r="J26" s="16" t="n">
        <v>0</v>
      </c>
      <c r="K26" s="16" t="n">
        <v>0</v>
      </c>
      <c r="L26" s="16" t="n">
        <v>0</v>
      </c>
      <c r="M26" s="11" t="inlineStr">
        <is>
          <t>[{"x":"2023","sam_estimate":0.0,"sam_actual":0.0,"usa_spending_actual":0.0},{"x":"2024","sam_estimate":0.0,"sam_actual":0.0,"usa_spending_actual":0.0},{"x":"2025","sam_estimate":0.0,"sam_actual":0.0,"usa_spending_actual":0.0}]</t>
        </is>
      </c>
    </row>
    <row r="27" ht="79.5" customHeight="1">
      <c r="A27" s="11" t="inlineStr">
        <is>
          <t>14.181</t>
        </is>
      </c>
      <c r="B27" s="11" t="inlineStr">
        <is>
          <t>Supportive Housing for Persons with Disabilities</t>
        </is>
      </c>
      <c r="C27" s="11" t="inlineStr">
        <is>
          <t>Section 811 Capital Advance</t>
        </is>
      </c>
      <c r="D27" s="11" t="inlineStr">
        <is>
          <t>Department of Housing and Urban Development</t>
        </is>
      </c>
      <c r="E27" s="11" t="inlineStr">
        <is>
          <t>Assistant Secretary for Housing -- Federal Housing Commissioner</t>
        </is>
      </c>
      <c r="F27" s="11" t="inlineStr">
        <is>
          <t>To expand the supply of supportive housing for very low-income persons with disabilities.</t>
        </is>
      </c>
      <c r="G27" s="11" t="inlineStr">
        <is>
          <t>Project Grants</t>
        </is>
      </c>
      <c r="H27" s="11" t="inlineStr">
        <is>
          <t>Alcoholic,Disabled (e.g. Deaf, Blind, Physically Disabled),Drug Addict,Individual/Family,Low Income,Mentally Disabled,Physically Afflicted (e.g. TB, Arthritis, Heart Disease)</t>
        </is>
      </c>
      <c r="I27" s="11" t="inlineStr">
        <is>
          <t>Private nonprofit institution/organization (includes institutions of higher education and hospitals)</t>
        </is>
      </c>
      <c r="J27" s="16" t="n">
        <v>0</v>
      </c>
      <c r="K27" s="16" t="n">
        <v>193705037.9</v>
      </c>
      <c r="L27" s="16" t="n">
        <v>193905083.05</v>
      </c>
      <c r="M27" s="11" t="inlineStr">
        <is>
          <t>[{"x":"2023","sam_estimate":0.0,"sam_actual":106000000.0,"usa_spending_actual":193905083.05},{"x":"2024","sam_estimate":0.0,"sam_actual":148000000.0,"usa_spending_actual":193705037.9},{"x":"2025","sam_estimate":0.0,"sam_actual":0.0,"usa_spending_actual":32309355.0}]</t>
        </is>
      </c>
    </row>
    <row r="28" ht="68.25" customHeight="1">
      <c r="A28" s="11" t="inlineStr">
        <is>
          <t>14.183</t>
        </is>
      </c>
      <c r="B28" s="11" t="inlineStr">
        <is>
          <t>Home Equity Conversion Mortgages</t>
        </is>
      </c>
      <c r="C28" s="11" t="inlineStr">
        <is>
          <t>Reverse Mortgage Insurance</t>
        </is>
      </c>
      <c r="D28" s="11" t="inlineStr">
        <is>
          <t>Department of Housing and Urban Development</t>
        </is>
      </c>
      <c r="E28" s="11" t="inlineStr">
        <is>
          <t>Assistant Secretary for Housing -- Federal Housing Commissioner</t>
        </is>
      </c>
      <c r="F28" s="11" t="inlineStr">
        <is>
          <t>To enable elderly homeowners to convert equity in their homes to monthly streams of income or lines of credit.</t>
        </is>
      </c>
      <c r="G28" s="11" t="inlineStr">
        <is>
          <t>Guaranteed / Insured Loans</t>
        </is>
      </c>
      <c r="H28" s="11" t="inlineStr">
        <is>
          <t>Individual/Family</t>
        </is>
      </c>
      <c r="I28" s="11" t="inlineStr">
        <is>
          <t>Individual/Family,Specialized group (e.g. health professionals, students, veterans)</t>
        </is>
      </c>
      <c r="J28" s="16" t="n">
        <v>0</v>
      </c>
      <c r="K28" s="16" t="n">
        <v>0</v>
      </c>
      <c r="L28" s="16" t="n">
        <v>0</v>
      </c>
      <c r="M28" s="11" t="inlineStr">
        <is>
          <t>[{"x":"2023","sam_estimate":0.0,"sam_actual":16187000.0,"usa_spending_actual":0.0},{"x":"2024","sam_estimate":0.0,"sam_actual":26250000.0,"usa_spending_actual":0.0},{"x":"2025","sam_estimate":0.0,"sam_actual":0.0,"usa_spending_actual":0.0}]</t>
        </is>
      </c>
    </row>
    <row r="29" ht="68.25" customHeight="1">
      <c r="A29" s="11" t="inlineStr">
        <is>
          <t>14.188</t>
        </is>
      </c>
      <c r="B29" s="11" t="inlineStr">
        <is>
          <t>Housing Finance Agencies (HFA) Risk Sharing</t>
        </is>
      </c>
      <c r="C29" s="11" t="inlineStr">
        <is>
          <t>HFA Risk Sharing Program - 542(c)</t>
        </is>
      </c>
      <c r="D29" s="11" t="inlineStr">
        <is>
          <t>Department of Housing and Urban Development</t>
        </is>
      </c>
      <c r="E29" s="11" t="inlineStr">
        <is>
          <t>Assistant Secretary for Housing -- Federal Housing Commissioner</t>
        </is>
      </c>
      <c r="F29" s="11" t="inlineStr">
        <is>
          <t>Under Section 542(c), HUD provides credit enhancement for mortgages for multifamily housing projects whose loans are underwritten, processed, serviced, and disposed of by Housing Finance Agencies (HFA).  HUD and the qualified State and local HFAs share in the risk of the mortgage.</t>
        </is>
      </c>
      <c r="G29" s="11" t="inlineStr">
        <is>
          <t>Guaranteed / Insured Loans</t>
        </is>
      </c>
      <c r="H29" s="11" t="inlineStr">
        <is>
          <t>Anyone/general public,Individual/Family,Land/Property Owner</t>
        </is>
      </c>
      <c r="I29" s="11" t="inlineStr">
        <is>
          <t>Other public institution/organization,State</t>
        </is>
      </c>
      <c r="J29" s="16" t="n">
        <v>0</v>
      </c>
      <c r="K29" s="16" t="n">
        <v>0</v>
      </c>
      <c r="L29" s="16" t="n">
        <v>0</v>
      </c>
      <c r="M29" s="11" t="inlineStr">
        <is>
          <t>[{"x":"2023","sam_estimate":0.0,"sam_actual":0.0,"usa_spending_actual":0.0},{"x":"2024","sam_estimate":0.0,"sam_actual":0.0,"usa_spending_actual":0.0},{"x":"2025","sam_estimate":0.0,"sam_actual":0.0,"usa_spending_actual":0.0}]</t>
        </is>
      </c>
    </row>
    <row r="30" ht="79.5" customHeight="1">
      <c r="A30" s="11" t="inlineStr">
        <is>
          <t>14.191</t>
        </is>
      </c>
      <c r="B30" s="11" t="inlineStr">
        <is>
          <t>Multifamily Housing Service Coordinators</t>
        </is>
      </c>
      <c r="C30" s="11" t="inlineStr">
        <is>
          <t>Service Coordinator in Multifamily Housing</t>
        </is>
      </c>
      <c r="D30" s="11" t="inlineStr">
        <is>
          <t>Department of Housing and Urban Development</t>
        </is>
      </c>
      <c r="E30" s="11" t="inlineStr">
        <is>
          <t>Assistant Secretary for Housing -- Federal Housing Commissioner</t>
        </is>
      </c>
      <c r="F30" s="11" t="inlineStr">
        <is>
          <t>To link elderly, especially frail and disabled, or disabled non-elderly assisted housing and neighborhood residents to supportive services in the general community; to prevent premature and unnecessary institutionalization; and, to assess individual service needs, determine eligibility for public services and make resource allocation decisions which enable residents to stay in the community longer.</t>
        </is>
      </c>
      <c r="G30" s="11" t="inlineStr">
        <is>
          <t>Project Grants</t>
        </is>
      </c>
      <c r="H30" s="11" t="inlineStr">
        <is>
          <t>Disabled (e.g. Deaf, Blind, Physically Disabled),Mentally Disabled,Senior Citizen (60+)</t>
        </is>
      </c>
      <c r="I30" s="11" t="inlineStr">
        <is>
          <t>Other public institution/organization,Private nonprofit institution/organization (includes institutions of higher education and hospitals),Profit organization</t>
        </is>
      </c>
      <c r="J30" s="16" t="n">
        <v>0</v>
      </c>
      <c r="K30" s="16" t="n">
        <v>49206276.31</v>
      </c>
      <c r="L30" s="16" t="n">
        <v>101322095.65</v>
      </c>
      <c r="M30" s="11" t="inlineStr">
        <is>
          <t>[{"x":"2023","sam_estimate":0.0,"sam_actual":112000000.0,"usa_spending_actual":101322095.65},{"x":"2024","sam_estimate":0.0,"sam_actual":112000000.0,"usa_spending_actual":49206276.31},{"x":"2025","sam_estimate":0.0,"sam_actual":0.0,"usa_spending_actual":0.0}]</t>
        </is>
      </c>
    </row>
    <row r="31" ht="68.25" customHeight="1">
      <c r="A31" s="11" t="inlineStr">
        <is>
          <t>14.195</t>
        </is>
      </c>
      <c r="B31" s="11" t="inlineStr">
        <is>
          <t>Project-Based Rental Assistance (PBRA)</t>
        </is>
      </c>
      <c r="C31" s="11" t="inlineStr">
        <is>
          <t>(Project-based Section 8)</t>
        </is>
      </c>
      <c r="D31" s="11" t="inlineStr">
        <is>
          <t>Department of Housing and Urban Development</t>
        </is>
      </c>
      <c r="E31" s="11" t="inlineStr">
        <is>
          <t>Assistant Secretary for Housing -- Federal Housing Commissioner</t>
        </is>
      </c>
      <c r="F31" s="11" t="inlineStr">
        <is>
          <t>To provide rental assistance to very low income individuals and families enabling them to live in affordable decent, safe and sanitary housing.</t>
        </is>
      </c>
      <c r="G31" s="11" t="inlineStr">
        <is>
          <t>Direct Payments for a Specified Use</t>
        </is>
      </c>
      <c r="H31" s="11" t="inlineStr">
        <is>
          <t>Individual/Family</t>
        </is>
      </c>
      <c r="I31" s="11" t="inlineStr">
        <is>
          <t>Profit organization</t>
        </is>
      </c>
      <c r="J31" s="16" t="n">
        <v>0</v>
      </c>
      <c r="K31" s="16" t="n">
        <v>15853155252.17</v>
      </c>
      <c r="L31" s="16" t="n">
        <v>15053228146.21</v>
      </c>
      <c r="M31" s="11" t="inlineStr">
        <is>
          <t>[{"x":"2023","sam_estimate":0.0,"sam_actual":14679000000.0,"usa_spending_actual":15053228146.21},{"x":"2024","sam_estimate":0.0,"sam_actual":14679000000.0,"usa_spending_actual":15853155252.17},{"x":"2025","sam_estimate":0.0,"sam_actual":0.0,"usa_spending_actual":3304902521.33}]</t>
        </is>
      </c>
    </row>
    <row r="32" ht="79.5" customHeight="1">
      <c r="A32" s="11" t="inlineStr">
        <is>
          <t>14.198</t>
        </is>
      </c>
      <c r="B32" s="11" t="inlineStr">
        <is>
          <t>Good Neighbor Next Door Sales Program</t>
        </is>
      </c>
      <c r="C32" s="11" t="inlineStr">
        <is>
          <t>GNND</t>
        </is>
      </c>
      <c r="D32" s="11" t="inlineStr">
        <is>
          <t>Department of Housing and Urban Development</t>
        </is>
      </c>
      <c r="E32" s="11" t="inlineStr">
        <is>
          <t>Assistant Secretary for Housing -- Federal Housing Commissioner</t>
        </is>
      </c>
      <c r="F32" s="11" t="inlineStr">
        <is>
          <t>The purpose of the Good Neighbor Next Door Sales Program is to improve the quality of life in distressed urban communities. This is to be accomplished by encouraging law enforcement officers, teachers, firefighters, and emergency medical technicians, 
to purchase and live in homes that are located in the same communities where they perform their daily responsibilities and duties.</t>
        </is>
      </c>
      <c r="G32" s="11" t="inlineStr">
        <is>
          <t>Sale, Exchange, or Donation of Property or Goods</t>
        </is>
      </c>
      <c r="H32" s="11" t="inlineStr">
        <is>
          <t>Anyone/general public,Specialized group (e.g. health professionals, students, veterans)</t>
        </is>
      </c>
      <c r="I32" s="11" t="inlineStr">
        <is>
          <t>Specialized group (e.g. health professionals, students, veterans)</t>
        </is>
      </c>
      <c r="J32" s="16" t="n">
        <v>0</v>
      </c>
      <c r="K32" s="16" t="n">
        <v>0</v>
      </c>
      <c r="L32" s="16" t="n">
        <v>0</v>
      </c>
      <c r="M32" s="11" t="inlineStr">
        <is>
          <t>[{"x":"2023","sam_estimate":0.0,"sam_actual":0.0,"usa_spending_actual":0.0},{"x":"2024","sam_estimate":0.0,"sam_actual":0.0,"usa_spending_actual":0.0},{"x":"2025","sam_estimate":0.0,"sam_actual":0.0,"usa_spending_actual":0.0}]</t>
        </is>
      </c>
    </row>
    <row r="33" ht="68.25" customHeight="1">
      <c r="A33" s="11" t="inlineStr">
        <is>
          <t>14.218</t>
        </is>
      </c>
      <c r="B33" s="11" t="inlineStr">
        <is>
          <t>Community Development Block Grants/Entitlement Grants</t>
        </is>
      </c>
      <c r="C33" s="11" t="inlineStr">
        <is>
          <t>Community Development Block Grant Program for Entitlement Communities.</t>
        </is>
      </c>
      <c r="D33" s="11" t="inlineStr">
        <is>
          <t>Department of Housing and Urban Development</t>
        </is>
      </c>
      <c r="E33" s="11" t="inlineStr">
        <is>
          <t>Assistant Secretary for Community Planning and Development</t>
        </is>
      </c>
      <c r="F33" s="11" t="inlineStr">
        <is>
          <t>To develop viable urban communities by providing decent housing, a suitable living environment, and expanding economic opportunities, principally for persons of low and moderate income.</t>
        </is>
      </c>
      <c r="G33" s="11" t="inlineStr">
        <is>
          <t>Formula Grants</t>
        </is>
      </c>
      <c r="H33" s="11" t="inlineStr">
        <is>
          <t>Individual/Family,Low Income,Moderate Income</t>
        </is>
      </c>
      <c r="I33" s="11" t="inlineStr">
        <is>
          <t>Government - General</t>
        </is>
      </c>
      <c r="J33" s="16" t="n">
        <v>0</v>
      </c>
      <c r="K33" s="16" t="n">
        <v>2093135933.61</v>
      </c>
      <c r="L33" s="16" t="n">
        <v>2768786400.36</v>
      </c>
      <c r="M33" s="11" t="inlineStr">
        <is>
          <t>[{"x":"2023","sam_estimate":0.0,"sam_actual":2251000000.0,"usa_spending_actual":2768786400.36},{"x":"2024","sam_estimate":0.0,"sam_actual":2461000000.0,"usa_spending_actual":2093135933.61},{"x":"2025","sam_estimate":0.0,"sam_actual":0.0,"usa_spending_actual":528451678.85}]</t>
        </is>
      </c>
    </row>
    <row r="34" ht="135.75" customHeight="1">
      <c r="A34" s="11" t="inlineStr">
        <is>
          <t>14.225</t>
        </is>
      </c>
      <c r="B34" s="11" t="inlineStr">
        <is>
          <t>Community Development Block Grants/Special Purpose Grants/Insular Areas</t>
        </is>
      </c>
      <c r="C34" s="11" t="inlineStr">
        <is>
          <t>Insular CDBG</t>
        </is>
      </c>
      <c r="D34" s="11" t="inlineStr">
        <is>
          <t>Department of Housing and Urban Development</t>
        </is>
      </c>
      <c r="E34" s="11" t="inlineStr">
        <is>
          <t>Assistant Secretary for Community Planning and Development</t>
        </is>
      </c>
      <c r="F34" s="11" t="inlineStr">
        <is>
          <t>To provide community development assistance to the Pacific Islands of American Samoa, Guam, the Northern Mariana Islands, and the Virgin Islands in the Caribbean, by providing decent housing, a suitable living environment, and expanding economic opportunities, principally for persons of low- and moderate-income.  Each activity funded must meet one of the program's National Objectives by: Benefiting low- and moderate-income families; aiding in the prevention or elimination of slums or blight; or meeting other community development needs having a particular urgency because existing conditions pose a serious and immediate threat to the health or welfare of the community where other financial resources are not available.</t>
        </is>
      </c>
      <c r="G34" s="11" t="inlineStr">
        <is>
          <t>Formula Grants</t>
        </is>
      </c>
      <c r="H34" s="11" t="inlineStr">
        <is>
          <t>Low Income,Moderate Income,U.S. Territories</t>
        </is>
      </c>
      <c r="I34" s="11" t="inlineStr">
        <is>
          <t>U.S. Territories and possessions (includes institutions of higher education and hospitals)</t>
        </is>
      </c>
      <c r="J34" s="16" t="n">
        <v>0</v>
      </c>
      <c r="K34" s="16" t="n">
        <v>6019875</v>
      </c>
      <c r="L34" s="16" t="n">
        <v>7846826.65</v>
      </c>
      <c r="M34" s="11" t="inlineStr">
        <is>
          <t>[{"x":"2023","sam_estimate":0.0,"sam_actual":7000000.0,"usa_spending_actual":7846826.65},{"x":"2024","sam_estimate":0.0,"sam_actual":7000000.0,"usa_spending_actual":6019875.0},{"x":"2025","sam_estimate":0.0,"sam_actual":0.0,"usa_spending_actual":5970567.0}]</t>
        </is>
      </c>
    </row>
    <row r="35" ht="124.5" customHeight="1">
      <c r="A35" s="11" t="inlineStr">
        <is>
          <t>14.228</t>
        </is>
      </c>
      <c r="B35" s="11" t="inlineStr">
        <is>
          <t>Community Development Block Grants/State's program and Non-Entitlement Grants in Hawaii</t>
        </is>
      </c>
      <c r="C35" s="11" t="inlineStr">
        <is>
          <t>State CDBG</t>
        </is>
      </c>
      <c r="D35" s="11" t="inlineStr">
        <is>
          <t>Department of Housing and Urban Development</t>
        </is>
      </c>
      <c r="E35" s="11" t="inlineStr">
        <is>
          <t>Assistant Secretary for Community Planning and Development</t>
        </is>
      </c>
      <c r="F35" s="11" t="inlineStr">
        <is>
          <t>The primary objective of this program is the development of viable urban communities by providing decent housing, a suitable living environment, and expanding economic opportunities, principally for persons of low- and moderate-income.  Each activity funded must meet one of the program's National Objectives by: Benefiting low- and moderate-income families; aiding in the prevention or elimination of slums or blight; or meeting other community development needs having a particular urgency because existing conditions pose a serious and immediate threat to the health or welfare of the community where other financial resources are not available.</t>
        </is>
      </c>
      <c r="G35" s="11" t="inlineStr">
        <is>
          <t>Formula Grants</t>
        </is>
      </c>
      <c r="H35" s="11" t="inlineStr">
        <is>
          <t>Local,Low Income,Moderate Income</t>
        </is>
      </c>
      <c r="I35" s="11" t="inlineStr">
        <is>
          <t>State (includes District of Columbia, public institutions of higher education and hospitals)</t>
        </is>
      </c>
      <c r="J35" s="16" t="n">
        <v>0</v>
      </c>
      <c r="K35" s="16" t="n">
        <v>5115008798.19</v>
      </c>
      <c r="L35" s="16" t="n">
        <v>7078072378.13</v>
      </c>
      <c r="M35" s="11" t="inlineStr">
        <is>
          <t>[{"x":"2023","sam_estimate":0.0,"sam_actual":3338000000.0,"usa_spending_actual":7078072378.13},{"x":"2024","sam_estimate":0.0,"sam_actual":4938000000.0,"usa_spending_actual":5115008798.19},{"x":"2025","sam_estimate":0.0,"sam_actual":0.0,"usa_spending_actual":395848879.0}]</t>
        </is>
      </c>
    </row>
    <row r="36" ht="79.5" customHeight="1">
      <c r="A36" s="11" t="inlineStr">
        <is>
          <t>14.231</t>
        </is>
      </c>
      <c r="B36" s="11" t="inlineStr">
        <is>
          <t>Emergency Solutions Grant Program</t>
        </is>
      </c>
      <c r="C36" s="11" t="inlineStr">
        <is>
          <t>Emergency Solutions Grants Program</t>
        </is>
      </c>
      <c r="D36" s="11" t="inlineStr">
        <is>
          <t>Department of Housing and Urban Development</t>
        </is>
      </c>
      <c r="E36" s="11" t="inlineStr">
        <is>
          <t>Assistant Secretary for Community Planning and Development</t>
        </is>
      </c>
      <c r="F36" s="11" t="inlineStr">
        <is>
          <t>The ESG program provides funding to: (1) engage homeless individuals and families living on the street; (2) improve the number and quality of emergency shelters for homeless individuals and families; (3) help operate these shelters; (4) provide essential services to shelter residents, (5) rapidly re-house homeless individuals and families, and (6) prevent families and individuals from becoming homeless.</t>
        </is>
      </c>
      <c r="G36" s="11" t="inlineStr">
        <is>
          <t>Formula Grants</t>
        </is>
      </c>
      <c r="H36" s="11" t="inlineStr">
        <is>
          <t>Anyone/general public,Individual/Family</t>
        </is>
      </c>
      <c r="I36" s="11" t="inlineStr">
        <is>
          <t>Government - General</t>
        </is>
      </c>
      <c r="J36" s="16" t="n">
        <v>0</v>
      </c>
      <c r="K36" s="16" t="n">
        <v>296164910.26</v>
      </c>
      <c r="L36" s="16" t="n">
        <v>373419859.95</v>
      </c>
      <c r="M36" s="11" t="inlineStr">
        <is>
          <t>[{"x":"2023","sam_estimate":0.0,"sam_actual":290000000.0,"usa_spending_actual":373419859.95},{"x":"2024","sam_estimate":0.0,"sam_actual":290000000.0,"usa_spending_actual":296164910.26},{"x":"2025","sam_estimate":0.0,"sam_actual":0.0,"usa_spending_actual":50111406.0}]</t>
        </is>
      </c>
    </row>
    <row r="37" ht="102" customHeight="1">
      <c r="A37" s="11" t="inlineStr">
        <is>
          <t>14.239</t>
        </is>
      </c>
      <c r="B37" s="11" t="inlineStr">
        <is>
          <t>Home Investment Partnerships Program</t>
        </is>
      </c>
      <c r="C37" s="11" t="inlineStr">
        <is>
          <t>(HOME Program)</t>
        </is>
      </c>
      <c r="D37" s="11" t="inlineStr">
        <is>
          <t>Department of Housing and Urban Development</t>
        </is>
      </c>
      <c r="E37" s="11" t="inlineStr">
        <is>
          <t>Assistant Secretary for Community Planning and Development</t>
        </is>
      </c>
      <c r="F37" s="11" t="inlineStr">
        <is>
          <t>To expand the supply of affordable housing, particularly rental housing, for low and very low income Americans;  to strengthen the abilities of State and local governments to design and implement strategies for achieving adequate supplies of decent, affordable housing; and  to extend and strengthen partnerships among all levels of government and the private sector, including for-profit and nonprofit organizations, in the production and operation of affordable housing.</t>
        </is>
      </c>
      <c r="G37" s="11" t="inlineStr">
        <is>
          <t>Formula Grants,Project Grants</t>
        </is>
      </c>
      <c r="H37" s="11" t="inlineStr">
        <is>
          <t>Individual/Family,Native American Organizations,Specialized group (e.g. health professionals, students, veterans)</t>
        </is>
      </c>
      <c r="I37" s="11" t="inlineStr">
        <is>
          <t>Federally Recognized lndian Tribal Governments,Local (includes State-designated lndian Tribes, excludes institutions of higher education and hospitals,State (includes District of Columbia, public institutions of higher education and hospitals)</t>
        </is>
      </c>
      <c r="J37" s="16" t="n">
        <v>0</v>
      </c>
      <c r="K37" s="16" t="n">
        <v>1150692594.12</v>
      </c>
      <c r="L37" s="16" t="n">
        <v>1958274035.33</v>
      </c>
      <c r="M37" s="11" t="inlineStr">
        <is>
          <t>[{"x":"2023","sam_estimate":0.0,"sam_actual":1970300807.0,"usa_spending_actual":1958274035.33},{"x":"2024","sam_estimate":0.0,"sam_actual":1155641544.0,"usa_spending_actual":1150692594.12},{"x":"2025","sam_estimate":0.0,"sam_actual":1250000000.0,"usa_spending_actual":196382250.4}]</t>
        </is>
      </c>
    </row>
    <row r="38" ht="79.5" customHeight="1">
      <c r="A38" s="11" t="inlineStr">
        <is>
          <t>14.241</t>
        </is>
      </c>
      <c r="B38" s="11" t="inlineStr">
        <is>
          <t>Housing Opportunities for Persons with AIDS</t>
        </is>
      </c>
      <c r="C38" s="11" t="inlineStr">
        <is>
          <t>HOPWA</t>
        </is>
      </c>
      <c r="D38" s="11" t="inlineStr">
        <is>
          <t>Department of Housing and Urban Development</t>
        </is>
      </c>
      <c r="E38" s="11" t="inlineStr">
        <is>
          <t>Assistant Secretary for Community Planning and Development</t>
        </is>
      </c>
      <c r="F38" s="11" t="inlineStr">
        <is>
          <t>To provide States, units of local government, or nonprofit organizations with the resources and incentives to devise long-term comprehensive strategies for meeting the supportive housing needs of low-income persons and their families living with HIV/AIDS in order to promote positive health outcomes, prevent homelessness, and sustain housing stability for HOPWA program beneficiaries.</t>
        </is>
      </c>
      <c r="G38" s="11" t="inlineStr">
        <is>
          <t>Formula Grants,Project Grants</t>
        </is>
      </c>
      <c r="H38" s="11" t="inlineStr">
        <is>
          <t>Anyone/general public,Disabled (e.g. Deaf, Blind, Physically Disabled),Individual/Family,Low Income</t>
        </is>
      </c>
      <c r="I38" s="11" t="inlineStr">
        <is>
          <t>City or Township Government,Government - General,Nonprofit with 501C3 IRS Status (Other than Institution of Higher Education),State,U.S. Territories and possessions</t>
        </is>
      </c>
      <c r="J38" s="16" t="n">
        <v>0</v>
      </c>
      <c r="K38" s="16" t="n">
        <v>449419079.75</v>
      </c>
      <c r="L38" s="16" t="n">
        <v>635860553.59</v>
      </c>
      <c r="M38" s="11" t="inlineStr">
        <is>
          <t>[{"x":"2023","sam_estimate":0.0,"sam_actual":645998416.0,"usa_spending_actual":635860553.59},{"x":"2024","sam_estimate":0.0,"sam_actual":453456313.0,"usa_spending_actual":449419079.75},{"x":"2025","sam_estimate":0.0,"sam_actual":505000000.0,"usa_spending_actual":93575371.26}]</t>
        </is>
      </c>
    </row>
    <row r="39" ht="68.25" customHeight="1">
      <c r="A39" s="11" t="inlineStr">
        <is>
          <t>14.247</t>
        </is>
      </c>
      <c r="B39" s="11" t="inlineStr">
        <is>
          <t>Self-Help Homeownership Opportunity Program</t>
        </is>
      </c>
      <c r="C39" s="11" t="inlineStr">
        <is>
          <t>Self-Help Homeownership Opportunity Program (SHOP)</t>
        </is>
      </c>
      <c r="D39" s="11" t="inlineStr">
        <is>
          <t>Department of Housing and Urban Development</t>
        </is>
      </c>
      <c r="E39" s="11" t="inlineStr">
        <is>
          <t>Assistant Secretary for Community Planning and Development</t>
        </is>
      </c>
      <c r="F39" s="11" t="inlineStr">
        <is>
          <t>To facilitate and encourage innovative homeownership opportunities through the provision of self-help homeownership in which  the homebuyer contributes a significant amount of sweat equity toward the development of the SHOP units.</t>
        </is>
      </c>
      <c r="G39" s="11" t="inlineStr">
        <is>
          <t>Project Grants</t>
        </is>
      </c>
      <c r="H39" s="11" t="inlineStr">
        <is>
          <t>Consumer,Homeowner,Individual/Family,Land/Property Owner,Low Income,Minority group,Moderate Income</t>
        </is>
      </c>
      <c r="I39" s="11" t="inlineStr">
        <is>
          <t>Specialized group (e.g. health professionals, students, veterans)</t>
        </is>
      </c>
      <c r="J39" s="16" t="n">
        <v>0</v>
      </c>
      <c r="K39" s="16" t="n">
        <v>26000000</v>
      </c>
      <c r="L39" s="16" t="n">
        <v>-47128.31</v>
      </c>
      <c r="M39" s="11" t="inlineStr">
        <is>
          <t>[{"x":"2023","sam_estimate":0.0,"sam_actual":12000000.0,"usa_spending_actual":-47128.31},{"x":"2024","sam_estimate":0.0,"sam_actual":11999997.0,"usa_spending_actual":26000000.0},{"x":"2025","sam_estimate":0.0,"sam_actual":0.0,"usa_spending_actual":0.0}]</t>
        </is>
      </c>
    </row>
    <row r="40" ht="68.25" customHeight="1">
      <c r="A40" s="11" t="inlineStr">
        <is>
          <t>14.248</t>
        </is>
      </c>
      <c r="B40" s="11" t="inlineStr">
        <is>
          <t>Community Development Block Grants Section 108 Loan Guarantees</t>
        </is>
      </c>
      <c r="C40" s="11" t="inlineStr">
        <is>
          <t>(Section 108)</t>
        </is>
      </c>
      <c r="D40" s="11" t="inlineStr">
        <is>
          <t>Department of Housing and Urban Development</t>
        </is>
      </c>
      <c r="E40" s="11" t="inlineStr">
        <is>
          <t>Assistant Secretary for Community Planning and Development</t>
        </is>
      </c>
      <c r="F40" s="11" t="inlineStr">
        <is>
          <t>To provide communities with a source of financing for economic development, housing rehabilitation, public facilities, and large scale physical development projects.</t>
        </is>
      </c>
      <c r="G40" s="11" t="inlineStr">
        <is>
          <t>Guaranteed / Insured Loans</t>
        </is>
      </c>
      <c r="H40" s="11" t="inlineStr">
        <is>
          <t>Individual/Family,Low Income,Moderate Income</t>
        </is>
      </c>
      <c r="I40" s="11" t="inlineStr">
        <is>
          <t>Government - General,Other public institution/organization,State,U.S. Territories and possessions</t>
        </is>
      </c>
      <c r="J40" s="16" t="n">
        <v>0</v>
      </c>
      <c r="K40" s="16" t="n">
        <v>0</v>
      </c>
      <c r="L40" s="16" t="n">
        <v>0</v>
      </c>
      <c r="M40" s="11" t="inlineStr">
        <is>
          <t>[{"x":"2023","sam_estimate":0.0,"sam_actual":300000000.0,"usa_spending_actual":0.0},{"x":"2024","sam_estimate":0.0,"sam_actual":400000000.0,"usa_spending_actual":0.0},{"x":"2025","sam_estimate":0.0,"sam_actual":0.0,"usa_spending_actual":0.0}]</t>
        </is>
      </c>
    </row>
    <row r="41" ht="90.75" customHeight="1">
      <c r="A41" s="11" t="inlineStr">
        <is>
          <t>14.249</t>
        </is>
      </c>
      <c r="B41" s="11" t="inlineStr">
        <is>
          <t>Section 8 Moderate Rehabilitation Single Room Occupancy</t>
        </is>
      </c>
      <c r="C41" s="11" t="n"/>
      <c r="D41" s="11" t="inlineStr">
        <is>
          <t>Department of Housing and Urban Development</t>
        </is>
      </c>
      <c r="E41" s="11" t="inlineStr">
        <is>
          <t>Assistant Secretary for Community Planning and Development</t>
        </is>
      </c>
      <c r="F41" s="11" t="inlineStr">
        <is>
          <t>The Section 8 Moderate Rehabilitation Single Room Occupancy Program provides rental assistance to homeless individuals. Under the program, HUD entered into Annual Contributions Contracts (ACCs) with public housing agencies (PHAs) in connection with the moderate rehabilitation of residential properties that, when rehabilitation is completed, will contain multiple single room dwelling units.  Funding for new projects ceased after 2011.  Expiring contracts are now renewed.</t>
        </is>
      </c>
      <c r="G41" s="11" t="inlineStr">
        <is>
          <t>Project Grants</t>
        </is>
      </c>
      <c r="H41" s="11" t="inlineStr">
        <is>
          <t>Individual/Family</t>
        </is>
      </c>
      <c r="I41" s="11" t="inlineStr">
        <is>
          <t>Private nonprofit institution/organization (includes institutions of higher education and hospitals)</t>
        </is>
      </c>
      <c r="J41" s="16" t="n">
        <v>0</v>
      </c>
      <c r="K41" s="16" t="n">
        <v>67118327</v>
      </c>
      <c r="L41" s="16" t="n">
        <v>64836067</v>
      </c>
      <c r="M41" s="11" t="inlineStr">
        <is>
          <t>[{"x":"2023","sam_estimate":0.0,"sam_actual":0.0,"usa_spending_actual":64836067.0},{"x":"2024","sam_estimate":0.0,"sam_actual":0.0,"usa_spending_actual":67118327.0},{"x":"2025","sam_estimate":0.0,"sam_actual":0.0,"usa_spending_actual":5885553.0}]</t>
        </is>
      </c>
    </row>
    <row r="42" ht="168.75" customHeight="1">
      <c r="A42" s="11" t="inlineStr">
        <is>
          <t>14.251</t>
        </is>
      </c>
      <c r="B42" s="11" t="inlineStr">
        <is>
          <t>Economic Development Initiative, Community Project Funding, and Miscellaneous grants</t>
        </is>
      </c>
      <c r="C42" s="11" t="inlineStr">
        <is>
          <t>Congressional Grants</t>
        </is>
      </c>
      <c r="D42" s="11" t="inlineStr">
        <is>
          <t>Department of Housing and Urban Development</t>
        </is>
      </c>
      <c r="E42" s="11" t="inlineStr">
        <is>
          <t>Office of Community Planning and Development</t>
        </is>
      </c>
      <c r="F42" s="11" t="inlineStr">
        <is>
          <t>The annual appropriation of funds to the Department and the accompanying Conference Report or Congressional Record accompanying the appropriation set forth grants in a specified amount to designated organizations for the activities specified by Congress.</t>
        </is>
      </c>
      <c r="G42" s="11" t="inlineStr">
        <is>
          <t>Project Grants</t>
        </is>
      </c>
      <c r="H42" s="11" t="inlineStr">
        <is>
          <t>Federal,Federally Recognized Indian Tribal Governments,Local,Native American Organizations,Other private institution/organization,Other public institution/organization,Preschool,Private nonprofit institution/organization,Public nonprofit institution/organization,Quasi-public nonprofit organization,School,State,U.S. Territories</t>
        </is>
      </c>
      <c r="I42" s="11" t="inlineStr">
        <is>
          <t>Local (includes State-designated lndian Tribes, excludes institutions of higher education and hospitals,Native American Organizations (includes lndian groups, cooperatives, corporations, partnerships, associations),Public nonprofit institution/organization (includes institutions of higher education and hospitals),State (includes District of Columbia, public institutions of higher education and hospitals)</t>
        </is>
      </c>
      <c r="J42" s="16" t="n">
        <v>0</v>
      </c>
      <c r="K42" s="16" t="n">
        <v>11423477</v>
      </c>
      <c r="L42" s="16" t="n">
        <v>2815228723</v>
      </c>
      <c r="M42" s="11" t="inlineStr">
        <is>
          <t>[{"x":"2023","sam_estimate":0.0,"sam_actual":4498694848.0,"usa_spending_actual":2815228723.0},{"x":"2024","sam_estimate":0.0,"sam_actual":0.0,"usa_spending_actual":11423477.0},{"x":"2025","sam_estimate":0.0,"sam_actual":0.0,"usa_spending_actual":0.0}]</t>
        </is>
      </c>
    </row>
    <row r="43" ht="68.25" customHeight="1">
      <c r="A43" s="11" t="inlineStr">
        <is>
          <t>14.252</t>
        </is>
      </c>
      <c r="B43" s="11" t="inlineStr">
        <is>
          <t>Section 4 Capacity Building for Community Development and Affordable Housing</t>
        </is>
      </c>
      <c r="C43" s="11" t="inlineStr">
        <is>
          <t xml:space="preserve">Section 4 Capacity Building </t>
        </is>
      </c>
      <c r="D43" s="11" t="inlineStr">
        <is>
          <t>Department of Housing and Urban Development</t>
        </is>
      </c>
      <c r="E43" s="11" t="inlineStr">
        <is>
          <t>Assistant Secretary for Community Planning and Development</t>
        </is>
      </c>
      <c r="F43" s="11" t="inlineStr">
        <is>
          <t>The Section 4 program builds the capacity of Community Development Corporations (CDCs) and Community Housing Development Organizations (CHDOs) to serve their communities and low- and moderate-income families with community development and affordable housing activities.</t>
        </is>
      </c>
      <c r="G43" s="11" t="inlineStr">
        <is>
          <t>Project Grants</t>
        </is>
      </c>
      <c r="H43" s="11" t="inlineStr">
        <is>
          <t>Private nonprofit institution/organization</t>
        </is>
      </c>
      <c r="I43" s="11" t="inlineStr">
        <is>
          <t>Other private institutions/organizations</t>
        </is>
      </c>
      <c r="J43" s="16" t="n">
        <v>0</v>
      </c>
      <c r="K43" s="16" t="n">
        <v>83000000</v>
      </c>
      <c r="L43" s="16" t="n">
        <v>41000000</v>
      </c>
      <c r="M43" s="11" t="inlineStr">
        <is>
          <t>[{"x":"2023","sam_estimate":0.0,"sam_actual":41000000.0,"usa_spending_actual":41000000.0},{"x":"2024","sam_estimate":0.0,"sam_actual":83000000.0,"usa_spending_actual":83000000.0},{"x":"2025","sam_estimate":0.0,"sam_actual":0.0,"usa_spending_actual":0.0}]</t>
        </is>
      </c>
    </row>
    <row r="44" ht="168.75" customHeight="1">
      <c r="A44" s="11" t="inlineStr">
        <is>
          <t>14.256</t>
        </is>
      </c>
      <c r="B44" s="11" t="inlineStr">
        <is>
          <t>Neighborhood Stabilization Program (Recovery Act Funded)</t>
        </is>
      </c>
      <c r="C44" s="11" t="n"/>
      <c r="D44" s="11" t="inlineStr">
        <is>
          <t>Department of Housing and Urban Development</t>
        </is>
      </c>
      <c r="E44" s="11" t="inlineStr">
        <is>
          <t>Office of Community Planning and Development</t>
        </is>
      </c>
      <c r="F44" s="11" t="inlineStr">
        <is>
          <t xml:space="preserve">Neighborhood stabilization through acquisition and rehabilitation, land banking, disposition, or demolition of abandoned and foreclosed residential property.  Also, to develop viable urban communities, by providing decent housing and a suitable living environment, and by expanding economic opportunities, principally for persons of low and moderate income.
</t>
        </is>
      </c>
      <c r="G44" s="11" t="inlineStr">
        <is>
          <t>Project Grants</t>
        </is>
      </c>
      <c r="H44" s="11" t="inlineStr">
        <is>
          <t>Low Income</t>
        </is>
      </c>
      <c r="I44" s="11" t="inlineStr">
        <is>
          <t>Government - General,Local (includes State-designated lndian Tribes, excludes institutions of higher education and hospitals,Private nonprofit institution/organization (includes institutions of higher education and hospitals),Public nonprofit institution/organization (includes institutions of higher education and hospitals),State (includes District of Columbia, public institutions of higher education and hospitals)</t>
        </is>
      </c>
      <c r="J44" s="16" t="n">
        <v>0</v>
      </c>
      <c r="K44" s="16" t="n">
        <v>0</v>
      </c>
      <c r="L44" s="16" t="n">
        <v>0</v>
      </c>
      <c r="M44" s="11" t="inlineStr">
        <is>
          <t>[{"x":"2023","sam_estimate":0.0,"sam_actual":0.0,"usa_spending_actual":0.0},{"x":"2024","sam_estimate":0.0,"sam_actual":0.0,"usa_spending_actual":0.0},{"x":"2025","sam_estimate":0.0,"sam_actual":0.0,"usa_spending_actual":0.0}]</t>
        </is>
      </c>
    </row>
    <row r="45" ht="236.25" customHeight="1">
      <c r="A45" s="11" t="inlineStr">
        <is>
          <t>14.259</t>
        </is>
      </c>
      <c r="B45" s="11" t="inlineStr">
        <is>
          <t>Community Compass Technical Assistance and Capacity Building</t>
        </is>
      </c>
      <c r="C45" s="11" t="inlineStr">
        <is>
          <t>Community Compass TA</t>
        </is>
      </c>
      <c r="D45" s="11" t="inlineStr">
        <is>
          <t>Department of Housing and Urban Development</t>
        </is>
      </c>
      <c r="E45" s="11" t="inlineStr">
        <is>
          <t>Assistant Secretary for Policy Development and Research</t>
        </is>
      </c>
      <c r="F45" s="11" t="inlineStr">
        <is>
          <t>Community Compass brings together technical assistance funding appropriations from across HUD program offices, including the offices of Community Planning and Development, Fair Housing and Equal Opportunity, Housing, Public and Indian Housing, and Policy Development and Research. This cross-funding approach recognizes that HUD’s grantees, subgrantees, and other customers often interact with a variety of HUD programs as they deliver housing or community development services.  Community Compass allows for holistic technical assistance to address the program and policy implementation deficiencies and skill gaps of grantees and subgrantees across multiple HUD programs, often within the same engagement.</t>
        </is>
      </c>
      <c r="G45" s="11" t="inlineStr">
        <is>
          <t>Project Grants</t>
        </is>
      </c>
      <c r="H45" s="11" t="inlineStr">
        <is>
          <t>Federally Recognized Indian Tribal Governments,Local,Public nonprofit institution/organization,Sponsored organization,State,U.S. Territories</t>
        </is>
      </c>
      <c r="I45" s="11" t="inlineStr">
        <is>
          <t>Federally Recognized lndian Tribal Governments,Native American Organizations (includes lndian groups, cooperatives, corporations, partnerships, associations),Other private institutions/organizations,Private nonprofit institution/organization (includes institutions of higher education and hospitals),Profit organization,Public nonprofit institution/organization (includes institutions of higher education and hospitals),Small business (less than 500 employees),State,State (includes District of Columbia, public institutions of higher education and hospitals)</t>
        </is>
      </c>
      <c r="J45" s="16" t="n">
        <v>0</v>
      </c>
      <c r="K45" s="16" t="n">
        <v>-1060000</v>
      </c>
      <c r="L45" s="16" t="n">
        <v>152773550.14</v>
      </c>
      <c r="M45" s="11" t="inlineStr">
        <is>
          <t>[{"x":"2023","sam_estimate":0.0,"sam_actual":184833190.0,"usa_spending_actual":152773550.14},{"x":"2024","sam_estimate":0.0,"sam_actual":69303801.0,"usa_spending_actual":-1060000.0},{"x":"2025","sam_estimate":0.0,"sam_actual":69936955.0,"usa_spending_actual":0.0}]</t>
        </is>
      </c>
    </row>
    <row r="46" ht="124.5" customHeight="1">
      <c r="A46" s="11" t="inlineStr">
        <is>
          <t>14.261</t>
        </is>
      </c>
      <c r="B46" s="11" t="inlineStr">
        <is>
          <t>National Homeless Data Analysis Project (NHDAP)</t>
        </is>
      </c>
      <c r="C46" s="11" t="inlineStr">
        <is>
          <t>National Homeless Data Analysis Project (NHDAP)</t>
        </is>
      </c>
      <c r="D46" s="11" t="inlineStr">
        <is>
          <t>Department of Housing and Urban Development</t>
        </is>
      </c>
      <c r="E46" s="11" t="inlineStr">
        <is>
          <t>Assistant Secretary for Community Planning and Development</t>
        </is>
      </c>
      <c r="F46" s="11" t="inlineStr">
        <is>
          <t>National Homeless Data Analysis Project (NHDAP) provides critical resources to HUD and the homelessness response systems to improve homelessness response data collection, analysis, and reporting; integrate data collection efforts in Homeless Management Information Systems (HMIS) with other federal funding streams; enhance the ability for HUD and communities to report and analyze data about persons experiencing homelessness; produce standards and specifications for data entry and reporting for all HMIS-generated reports, analyze point-in-time and longitudinal analysis system data to produce the Annual Homeless Assessment Report (AHAR); and provide technical assistance on HMIS implementation.</t>
        </is>
      </c>
      <c r="G46" s="11" t="inlineStr">
        <is>
          <t>Project Grants</t>
        </is>
      </c>
      <c r="H46" s="11" t="inlineStr">
        <is>
          <t>Local,Private nonprofit institution/organization,Public nonprofit institution/organization,State</t>
        </is>
      </c>
      <c r="I46" s="11" t="inlineStr">
        <is>
          <t>Non-Government - General,Other public institution/organization,State</t>
        </is>
      </c>
      <c r="J46" s="16" t="n">
        <v>0</v>
      </c>
      <c r="K46" s="16" t="n">
        <v>-588329.39</v>
      </c>
      <c r="L46" s="16" t="n">
        <v>-175157.19</v>
      </c>
      <c r="M46" s="11" t="inlineStr">
        <is>
          <t>[{"x":"2023","sam_estimate":0.0,"sam_actual":4550000.0,"usa_spending_actual":-175157.19},{"x":"2024","sam_estimate":0.0,"sam_actual":9350000.0,"usa_spending_actual":-588329.39},{"x":"2025","sam_estimate":0.0,"sam_actual":0.0,"usa_spending_actual":0.0}]</t>
        </is>
      </c>
    </row>
    <row r="47" ht="113.25" customHeight="1">
      <c r="A47" s="11" t="inlineStr">
        <is>
          <t>14.265</t>
        </is>
      </c>
      <c r="B47" s="11" t="inlineStr">
        <is>
          <t>Rural Capacity Building for Community Development and Affordable Housing Grants</t>
        </is>
      </c>
      <c r="C47" s="11" t="inlineStr">
        <is>
          <t>Rural Capacity Building Program</t>
        </is>
      </c>
      <c r="D47" s="11" t="inlineStr">
        <is>
          <t>Department of Housing and Urban Development</t>
        </is>
      </c>
      <c r="E47" s="11" t="inlineStr">
        <is>
          <t>Assistant Secretary for Community Planning and Development</t>
        </is>
      </c>
      <c r="F47" s="11" t="inlineStr">
        <is>
          <t>The Rural Capacity Building program enhances the capacity and ability of rural housing development organizations, Community Development Corporations (CDCs), Community Housing Development Organizations (CHDOs), local governments, and Indian tribes (eligible beneficiaries) to carry out affordable housing and community development activities in rural areas for the benefit of low- and moderate-income families and persons. The Rural Capacity Building program achieves this by funding National Organizations with expertise in rural housing and rural community development who work directly to build the capacity of eligible beneficiaries.</t>
        </is>
      </c>
      <c r="G47" s="11" t="inlineStr">
        <is>
          <t>Project Grants</t>
        </is>
      </c>
      <c r="H47" s="11" t="inlineStr">
        <is>
          <t>Federally Recognized Indian Tribal Governments,Local,Private nonprofit institution/organization</t>
        </is>
      </c>
      <c r="I47" s="11" t="inlineStr">
        <is>
          <t>Other private institutions/organizations</t>
        </is>
      </c>
      <c r="J47" s="16" t="n">
        <v>0</v>
      </c>
      <c r="K47" s="16" t="n">
        <v>0</v>
      </c>
      <c r="L47" s="16" t="n">
        <v>9231410.43</v>
      </c>
      <c r="M47" s="11" t="inlineStr">
        <is>
          <t>[{"x":"2023","sam_estimate":0.0,"sam_actual":10000000.0,"usa_spending_actual":9231410.43},{"x":"2024","sam_estimate":0.0,"sam_actual":6000000.0,"usa_spending_actual":0.0},{"x":"2025","sam_estimate":0.0,"sam_actual":0.0,"usa_spending_actual":0.0}]</t>
        </is>
      </c>
    </row>
    <row r="48" ht="191.25" customHeight="1">
      <c r="A48" s="11" t="inlineStr">
        <is>
          <t>14.267</t>
        </is>
      </c>
      <c r="B48" s="11" t="inlineStr">
        <is>
          <t xml:space="preserve">Continuum of Care Program </t>
        </is>
      </c>
      <c r="C48" s="11" t="inlineStr">
        <is>
          <t>See Notice of Funding Opportunity [NOFO] for additional information.</t>
        </is>
      </c>
      <c r="D48" s="11" t="inlineStr">
        <is>
          <t>Department of Housing and Urban Development</t>
        </is>
      </c>
      <c r="E48" s="11" t="inlineStr">
        <is>
          <t>Assistant Secretary for Community Planning and Development</t>
        </is>
      </c>
      <c r="F48" s="11" t="inlineStr">
        <is>
          <t xml:space="preserve">The program is designed to promote community-wide commitment to the goal of ending homelessness; provide funding for efforts by nonprofit providers, States, and local governments to quickly house homeless individuals and families while minimizing the trauma and dislocation caused to homeless individuals, families, and communities by homelessness; promote access to and effective utilization of mainstream programs by homeless individuals and families; and optimize self-sufficiency among individuals and families experiencing homelessness.  Continuum of Care Program funds may be used to pay for the eligible costs used to establish and operate projects under five program components: (i) permanent housing, which includes permanent supportive housing for persons with disabilities, and rapid rehousing; (ii) transitional housing; (iii) supportive services only; (iv) Homeless Management Information Systems (HMIS), and (v) in some cases, homelessness prevention. 
</t>
        </is>
      </c>
      <c r="G48" s="11" t="inlineStr">
        <is>
          <t>Project Grants</t>
        </is>
      </c>
      <c r="H48" s="11" t="inlineStr">
        <is>
          <t>Individual/Family</t>
        </is>
      </c>
      <c r="I48" s="11" t="inlineStr">
        <is>
          <t>Government - General,Local (includes State-designated lndian Tribes, excludes institutions of higher education and hospitals,Other private institutions/organizations,Quasi-public nonprofit institution/organization,Specialized group (e.g. health professionals, students, veterans),State</t>
        </is>
      </c>
      <c r="J48" s="16" t="n">
        <v>0</v>
      </c>
      <c r="K48" s="16" t="n">
        <v>2965446336</v>
      </c>
      <c r="L48" s="16" t="n">
        <v>2588355061.93</v>
      </c>
      <c r="M48" s="11" t="inlineStr">
        <is>
          <t>[{"x":"2023","sam_estimate":0.0,"sam_actual":3261008611.0,"usa_spending_actual":2588355061.93},{"x":"2024","sam_estimate":0.0,"sam_actual":3192650000.0,"usa_spending_actual":2965446336.0},{"x":"2025","sam_estimate":0.0,"sam_actual":0.0,"usa_spending_actual":69568361.82}]</t>
        </is>
      </c>
    </row>
    <row r="49" ht="113.25" customHeight="1">
      <c r="A49" s="11" t="inlineStr">
        <is>
          <t>14.269</t>
        </is>
      </c>
      <c r="B49" s="11" t="inlineStr">
        <is>
          <t>Hurricane Sandy Community Development Block Grant Disaster Recovery Grants (CDBG-DR)</t>
        </is>
      </c>
      <c r="C49" s="11" t="inlineStr">
        <is>
          <t>Community Development Block Grant Disaster Recovery program for Hurricane Sandy and other qualifying disasters occurring in 2011, 2012 and 2013</t>
        </is>
      </c>
      <c r="D49" s="11" t="inlineStr">
        <is>
          <t>Department of Housing and Urban Development</t>
        </is>
      </c>
      <c r="E49" s="11" t="inlineStr">
        <is>
          <t>Assistant Secretary for Community Planning and Development</t>
        </is>
      </c>
      <c r="F49" s="11" t="inlineStr">
        <is>
          <t>The overall CDBG program objective is to develop viable urban communities, by providing decent housing and a suitable living environment, and by expanding economic opportunities, principally for persons of low and moderate income. CDBG DR program funds appropriated by P.L. 113-2 are for necessary expenses related to disaster relief, long-term recovery, restoration of infrastructure and housing, and economic revitalization in the most impacted and distressed areas resulting from a major disaster declaration due to Hurricane Sandy and other eligible events in calendar years 2011, 2012, and 2013.</t>
        </is>
      </c>
      <c r="G49" s="11" t="inlineStr">
        <is>
          <t>Formula Grants</t>
        </is>
      </c>
      <c r="H49" s="11" t="inlineStr">
        <is>
          <t>Homeowner,Individual/Family,Low Income,Moderate Income,Private nonprofit institution/organization,Public nonprofit institution/organization,Small business</t>
        </is>
      </c>
      <c r="I49" s="11" t="inlineStr">
        <is>
          <t>Local (includes State-designated lndian Tribes, excludes institutions of higher education and hospitals,State,U.S. Territories and possessions</t>
        </is>
      </c>
      <c r="J49" s="16" t="n">
        <v>0</v>
      </c>
      <c r="K49" s="16" t="n">
        <v>-140842.94</v>
      </c>
      <c r="L49" s="16" t="n">
        <v>-1</v>
      </c>
      <c r="M49" s="11" t="inlineStr">
        <is>
          <t>[{"x":"2023","sam_estimate":0.0,"sam_actual":0.0,"usa_spending_actual":-1.0},{"x":"2024","sam_estimate":0.0,"sam_actual":0.0,"usa_spending_actual":-140842.94},{"x":"2025","sam_estimate":0.0,"sam_actual":0.0,"usa_spending_actual":0.0}]</t>
        </is>
      </c>
    </row>
    <row r="50" ht="124.5" customHeight="1">
      <c r="A50" s="11" t="inlineStr">
        <is>
          <t>14.272</t>
        </is>
      </c>
      <c r="B50" s="11" t="inlineStr">
        <is>
          <t>National Disaster Resilience Competition</t>
        </is>
      </c>
      <c r="C50" s="11" t="inlineStr">
        <is>
          <t>Community Development Block Grant P. L. 113-2</t>
        </is>
      </c>
      <c r="D50" s="11" t="inlineStr">
        <is>
          <t>Department of Housing and Urban Development</t>
        </is>
      </c>
      <c r="E50" s="11" t="inlineStr">
        <is>
          <t>Assistant Secretary for Community Planning and Development</t>
        </is>
      </c>
      <c r="F50" s="11" t="inlineStr">
        <is>
          <t>The overall CDBG program objective is to develop viable urban communities, by providing decent housing and a suitable living environment, and by expanding economic opportunities, principally for persons of low and moderate income. The National Resilient Disaster Competition program funds appropriated by P.L. 113-2 are available for resilient recovery projects and necessary expenses related to disaster relief, long-term recovery, restoration of infrastructure and housing, and economic revitalization in the most impacted and distressed areas resulting from a major disaster declared pursuant to the due to Hurricane Sandy and other eligible events in calendar years 2011, 2012, and 2013.</t>
        </is>
      </c>
      <c r="G50" s="11" t="inlineStr">
        <is>
          <t>Project Grants</t>
        </is>
      </c>
      <c r="H50" s="11" t="inlineStr">
        <is>
          <t>Anyone/general public,Homeowner,Interstate,Local,Low Income,Moderate Income,Private nonprofit institution/organization,Profit organization,Public nonprofit institution/organization,Senior Citizen (60+),Small business,State</t>
        </is>
      </c>
      <c r="I50" s="11" t="inlineStr">
        <is>
          <t>Local (includes State-designated lndian Tribes, excludes institutions of higher education and hospitals,State,U.S. Territories and possessions</t>
        </is>
      </c>
      <c r="J50" s="16" t="n">
        <v>0</v>
      </c>
      <c r="K50" s="16" t="n">
        <v>0</v>
      </c>
      <c r="L50" s="16" t="n">
        <v>-606138.41</v>
      </c>
      <c r="M50" s="11" t="inlineStr">
        <is>
          <t>[{"x":"2023","sam_estimate":0.0,"sam_actual":0.0,"usa_spending_actual":-606138.41},{"x":"2024","sam_estimate":0.0,"sam_actual":0.0,"usa_spending_actual":0.0},{"x":"2025","sam_estimate":0.0,"sam_actual":0.0,"usa_spending_actual":0.0}]</t>
        </is>
      </c>
    </row>
    <row r="51" ht="68.25" customHeight="1">
      <c r="A51" s="11" t="inlineStr">
        <is>
          <t>14.275</t>
        </is>
      </c>
      <c r="B51" s="11" t="inlineStr">
        <is>
          <t>Housing Trust Fund</t>
        </is>
      </c>
      <c r="C51" s="11" t="inlineStr">
        <is>
          <t>Housing Trust Fund</t>
        </is>
      </c>
      <c r="D51" s="11" t="inlineStr">
        <is>
          <t>Department of Housing and Urban Development</t>
        </is>
      </c>
      <c r="E51" s="11" t="inlineStr">
        <is>
          <t>Assistant Secretary for Community Planning and Development</t>
        </is>
      </c>
      <c r="F51" s="11" t="inlineStr">
        <is>
          <t>To expand and preserve the supply of affordable housing, particularly rental housing, for extremely low-income and very low income households.</t>
        </is>
      </c>
      <c r="G51" s="11" t="inlineStr">
        <is>
          <t>Formula Grants</t>
        </is>
      </c>
      <c r="H51" s="11" t="inlineStr">
        <is>
          <t>State</t>
        </is>
      </c>
      <c r="I51" s="11" t="inlineStr">
        <is>
          <t>State</t>
        </is>
      </c>
      <c r="J51" s="16" t="n">
        <v>0</v>
      </c>
      <c r="K51" s="16" t="n">
        <v>205581716.74</v>
      </c>
      <c r="L51" s="16" t="n">
        <v>686556608.11</v>
      </c>
      <c r="M51" s="11" t="inlineStr">
        <is>
          <t>[{"x":"2023","sam_estimate":0.0,"sam_actual":688096848.0,"usa_spending_actual":686556608.11},{"x":"2024","sam_estimate":0.0,"sam_actual":216961850.0,"usa_spending_actual":205581716.74},{"x":"2025","sam_estimate":0.0,"sam_actual":278000000.0,"usa_spending_actual":40280086.6}]</t>
        </is>
      </c>
    </row>
    <row r="52" ht="180" customHeight="1">
      <c r="A52" s="11" t="inlineStr">
        <is>
          <t>14.276</t>
        </is>
      </c>
      <c r="B52" s="11" t="inlineStr">
        <is>
          <t>Youth Homelessness Demonstration Program</t>
        </is>
      </c>
      <c r="C52" s="11" t="inlineStr">
        <is>
          <t>Youth Homelessness Demonstration Program</t>
        </is>
      </c>
      <c r="D52" s="11" t="inlineStr">
        <is>
          <t>Department of Housing and Urban Development</t>
        </is>
      </c>
      <c r="E52" s="11" t="inlineStr">
        <is>
          <t>Assistant Secretary for Community Planning and Development</t>
        </is>
      </c>
      <c r="F52" s="11" t="inlineStr">
        <is>
          <t>The goal of the Youth Homeless Demonstration Program (YHDP) is to support selected communities in the development and implementation of a coordinated community approach to preventing and ending youth homelessness and sharing that experience with and mobilizing communities around the country toward the same end. The population to be served by this demonstration program is youth experiencing homelessness, age 24 and under, including unaccompanied youth and pregnant or parenting youth who are experiencing homelessness. HUD will award approximately $72,000,000 in YHDP under this NOFO through funding appropriated for fiscal year (FY) 2023 through the Consolidated Appropriations Act, 2023 (Public Law 117-328) ("FY 2023 Appropriations Act). The FY 2023 Appropriations Act appropriated this funding to HUD "to implement projects to demonstrate how a comprehensive approach to serving homeless youth, age 24 and under ... can dramatically reduce youth homelessness.”</t>
        </is>
      </c>
      <c r="G52" s="11" t="inlineStr">
        <is>
          <t>Project Grants</t>
        </is>
      </c>
      <c r="H52" s="11" t="inlineStr">
        <is>
          <t>Individual/Family,Youth (16-21)</t>
        </is>
      </c>
      <c r="I52" s="11" t="inlineStr">
        <is>
          <t>Individual/Family</t>
        </is>
      </c>
      <c r="J52" s="16" t="n">
        <v>0</v>
      </c>
      <c r="K52" s="16" t="n">
        <v>111294174.62</v>
      </c>
      <c r="L52" s="16" t="n">
        <v>67424987.95</v>
      </c>
      <c r="M52" s="11" t="inlineStr">
        <is>
          <t>[{"x":"2023","sam_estimate":0.0,"sam_actual":92041882.0,"usa_spending_actual":67424987.95},{"x":"2024","sam_estimate":0.0,"sam_actual":123881123.0,"usa_spending_actual":111294174.62},{"x":"2025","sam_estimate":0.0,"sam_actual":72000000.0,"usa_spending_actual":3991525.0}]</t>
        </is>
      </c>
    </row>
    <row r="53" ht="68.25" customHeight="1">
      <c r="A53" s="11" t="inlineStr">
        <is>
          <t>14.277</t>
        </is>
      </c>
      <c r="B53" s="11" t="inlineStr">
        <is>
          <t>Youth Homeless System Improvement Grants</t>
        </is>
      </c>
      <c r="C53" s="11" t="inlineStr">
        <is>
          <t>YHSIG</t>
        </is>
      </c>
      <c r="D53" s="11" t="inlineStr">
        <is>
          <t>Department of Housing and Urban Development</t>
        </is>
      </c>
      <c r="E53" s="11" t="inlineStr">
        <is>
          <t>Assistant Secretary for Community Planning and Development</t>
        </is>
      </c>
      <c r="F53" s="11" t="inlineStr">
        <is>
          <t>The objectives of the Youth Homeless System Improvement Grants (YHSIG), HUD will award approximately $25,000,000 to support communities, including but not limited to the communities assisted under the matter preceding this proviso in establishing and implementing a response system for youth homelessness or for improving their existing system.</t>
        </is>
      </c>
      <c r="G53" s="11" t="inlineStr">
        <is>
          <t>Project Grants</t>
        </is>
      </c>
      <c r="H53" s="11" t="n"/>
      <c r="I53" s="11" t="inlineStr">
        <is>
          <t>Federally Recognized lndian Tribal Governments,Public nonprofit institution/organization (includes institutions of higher education and hospitals),State</t>
        </is>
      </c>
      <c r="J53" s="16" t="n">
        <v>0</v>
      </c>
      <c r="K53" s="16" t="n">
        <v>0</v>
      </c>
      <c r="L53" s="16" t="n">
        <v>0</v>
      </c>
      <c r="M53" s="11" t="inlineStr">
        <is>
          <t>[{"x":"2023","sam_estimate":0.0,"sam_actual":25000000.0,"usa_spending_actual":0.0},{"x":"2024","sam_estimate":0.0,"sam_actual":0.0,"usa_spending_actual":0.0},{"x":"2025","sam_estimate":0.0,"sam_actual":0.0,"usa_spending_actual":0.0}]</t>
        </is>
      </c>
    </row>
    <row r="54" ht="147" customHeight="1">
      <c r="A54" s="11" t="inlineStr">
        <is>
          <t>14.278</t>
        </is>
      </c>
      <c r="B54" s="11" t="inlineStr">
        <is>
          <t>Veterans Housing Rehabilitation and Modification Program</t>
        </is>
      </c>
      <c r="C54" s="11" t="inlineStr">
        <is>
          <t>Veterans Housing Rehabilitation and Modification Program</t>
        </is>
      </c>
      <c r="D54" s="11" t="inlineStr">
        <is>
          <t>Department of Housing and Urban Development</t>
        </is>
      </c>
      <c r="E54" s="11" t="inlineStr">
        <is>
          <t>Assistant Secretary for Community Planning and Development</t>
        </is>
      </c>
      <c r="F54" s="11" t="inlineStr">
        <is>
          <t xml:space="preserve">The purpose of the Veterans Housing Rehabilitation and Modification Program is to award grants to nonprofit veterans service organizations to rehabilitate and modify the primary residence of disabled and low-income veterans. 
Funds may be used to support eligible activities that serve the following objectives: 
1) Modify and rehabilitate the primary residence of disabled and low-income veterans;
2) Rehabilitate such residence that is in a state of interior or exterior disrepair; and
3) Install energy efficient features or equipment.
</t>
        </is>
      </c>
      <c r="G54" s="11" t="inlineStr">
        <is>
          <t>Project Grants</t>
        </is>
      </c>
      <c r="H54" s="11" t="inlineStr">
        <is>
          <t>Private nonprofit institution/organization</t>
        </is>
      </c>
      <c r="I54" s="11" t="inlineStr">
        <is>
          <t>Private nonprofit institution/organization (includes institutions of higher education and hospitals)</t>
        </is>
      </c>
      <c r="J54" s="16" t="n">
        <v>0</v>
      </c>
      <c r="K54" s="16" t="n">
        <v>1000000</v>
      </c>
      <c r="L54" s="16" t="n">
        <v>0</v>
      </c>
      <c r="M54" s="11" t="inlineStr">
        <is>
          <t>[{"x":"2023","sam_estimate":0.0,"sam_actual":0.0,"usa_spending_actual":0.0},{"x":"2024","sam_estimate":0.0,"sam_actual":9000000.0,"usa_spending_actual":1000000.0},{"x":"2025","sam_estimate":0.0,"sam_actual":0.0,"usa_spending_actual":0.0}]</t>
        </is>
      </c>
    </row>
    <row r="55" ht="102" customHeight="1">
      <c r="A55" s="11" t="inlineStr">
        <is>
          <t>14.311</t>
        </is>
      </c>
      <c r="B55" s="11" t="inlineStr">
        <is>
          <t>Single Family Property Disposition</t>
        </is>
      </c>
      <c r="C55" s="11" t="inlineStr">
        <is>
          <t>HUD Homes</t>
        </is>
      </c>
      <c r="D55" s="11" t="inlineStr">
        <is>
          <t>Department of Housing and Urban Development</t>
        </is>
      </c>
      <c r="E55" s="11" t="inlineStr">
        <is>
          <t>Assistant Secretary for Housing -- Federal Housing Commissioner</t>
        </is>
      </c>
      <c r="F55" s="11" t="inlineStr">
        <is>
          <t>To sell HUD single family Real Estate Owned (REO) properties in a manner that expands homeownership opportunities, strengthens neighborhoods and communities, and ensures a maximum return to the FHA mortgage insurance fund.</t>
        </is>
      </c>
      <c r="G55" s="11" t="inlineStr">
        <is>
          <t>Sale, Exchange, or Donation of Property or Goods</t>
        </is>
      </c>
      <c r="H55" s="11" t="inlineStr">
        <is>
          <t>Federal,Public nonprofit institution/organization,State</t>
        </is>
      </c>
      <c r="I55" s="11" t="inlineStr">
        <is>
          <t>Anyone/general public,Federal,Individual/Family,Local (includes State-designated lndian Tribes, excludes institutions of higher education and hospitals,State (includes District of Columbia, public institutions of higher education and hospitals)</t>
        </is>
      </c>
      <c r="J55" s="16" t="n">
        <v>0</v>
      </c>
      <c r="K55" s="16" t="n">
        <v>0</v>
      </c>
      <c r="L55" s="16" t="n">
        <v>0</v>
      </c>
      <c r="M55" s="11" t="inlineStr">
        <is>
          <t>[{"x":"2023","sam_estimate":0.0,"sam_actual":0.0,"usa_spending_actual":0.0},{"x":"2024","sam_estimate":0.0,"sam_actual":0.0,"usa_spending_actual":0.0},{"x":"2025","sam_estimate":0.0,"sam_actual":0.0,"usa_spending_actual":0.0}]</t>
        </is>
      </c>
    </row>
    <row r="56" ht="68.25" customHeight="1">
      <c r="A56" s="11" t="inlineStr">
        <is>
          <t>14.313</t>
        </is>
      </c>
      <c r="B56" s="11" t="inlineStr">
        <is>
          <t>Dollar Home Sales</t>
        </is>
      </c>
      <c r="C56" s="11" t="inlineStr">
        <is>
          <t>Dollar Home Program, $1 Home Program</t>
        </is>
      </c>
      <c r="D56" s="11" t="inlineStr">
        <is>
          <t>Department of Housing and Urban Development</t>
        </is>
      </c>
      <c r="E56" s="11" t="inlineStr">
        <is>
          <t>Assistant Secretary for Housing -- Federal Housing Commissioner</t>
        </is>
      </c>
      <c r="F56" s="11" t="inlineStr">
        <is>
          <t>To expand HUD's partnership with local governments in helping to foster housing opportunities for low-to-moderate income families and address specific community needs.</t>
        </is>
      </c>
      <c r="G56" s="11" t="inlineStr">
        <is>
          <t>Sale, Exchange, or Donation of Property or Goods</t>
        </is>
      </c>
      <c r="H56" s="11" t="inlineStr">
        <is>
          <t>Local</t>
        </is>
      </c>
      <c r="I56" s="11" t="inlineStr">
        <is>
          <t>Local (includes State-designated lndian Tribes, excludes institutions of higher education and hospitals</t>
        </is>
      </c>
      <c r="J56" s="16" t="n">
        <v>0</v>
      </c>
      <c r="K56" s="16" t="n">
        <v>0</v>
      </c>
      <c r="L56" s="16" t="n">
        <v>0</v>
      </c>
      <c r="M56" s="11" t="inlineStr">
        <is>
          <t>[{"x":"2023","sam_estimate":0.0,"sam_actual":0.0,"usa_spending_actual":0.0},{"x":"2024","sam_estimate":0.0,"sam_actual":0.0,"usa_spending_actual":0.0},{"x":"2025","sam_estimate":0.0,"sam_actual":0.0,"usa_spending_actual":0.0}]</t>
        </is>
      </c>
    </row>
    <row r="57" ht="90.75" customHeight="1">
      <c r="A57" s="11" t="inlineStr">
        <is>
          <t>14.316</t>
        </is>
      </c>
      <c r="B57" s="11" t="inlineStr">
        <is>
          <t>Housing Counseling Training Program</t>
        </is>
      </c>
      <c r="C57" s="11" t="inlineStr">
        <is>
          <t>Housing Counseling Training Grant</t>
        </is>
      </c>
      <c r="D57" s="11" t="inlineStr">
        <is>
          <t>Department of Housing and Urban Development</t>
        </is>
      </c>
      <c r="E57" s="11" t="inlineStr">
        <is>
          <t>Assistant Secretary for Housing -- Federal Housing Commissioner</t>
        </is>
      </c>
      <c r="F57" s="11" t="inlineStr">
        <is>
          <t>This program supports, under cooperative agreements with HUD, the delivery of a broad array of training activities for counselors from agencies participating in HUD's Housing Counseling program. The primary objectives of the program are to improve and standardize the quality of counseling provided by housing counselors working with HUD-approved housing counseling agencies and to make training accessible and affordable.</t>
        </is>
      </c>
      <c r="G57" s="11" t="inlineStr">
        <is>
          <t>Project Grants</t>
        </is>
      </c>
      <c r="H57" s="11" t="inlineStr">
        <is>
          <t>Specialized group (e.g. health professionals, students, veterans)</t>
        </is>
      </c>
      <c r="I57" s="11" t="inlineStr">
        <is>
          <t>Private nonprofit institution/organization (includes institutions of higher education and hospitals),Public nonprofit institution/organization (includes institutions of higher education and hospitals)</t>
        </is>
      </c>
      <c r="J57" s="16" t="n">
        <v>0</v>
      </c>
      <c r="K57" s="16" t="n">
        <v>2750000</v>
      </c>
      <c r="L57" s="16" t="n">
        <v>-92315.5</v>
      </c>
      <c r="M57" s="11" t="inlineStr">
        <is>
          <t>[{"x":"2023","sam_estimate":0.0,"sam_actual":9000000.0,"usa_spending_actual":-92315.5},{"x":"2024","sam_estimate":0.0,"sam_actual":5000000.0,"usa_spending_actual":2750000.0},{"x":"2025","sam_estimate":0.0,"sam_actual":0.0,"usa_spending_actual":1880217.72}]</t>
        </is>
      </c>
    </row>
    <row r="58" ht="68.25" customHeight="1">
      <c r="A58" s="11" t="inlineStr">
        <is>
          <t>14.322</t>
        </is>
      </c>
      <c r="B58" s="11" t="inlineStr">
        <is>
          <t>Tenant Education and Outreach Program</t>
        </is>
      </c>
      <c r="C58" s="11" t="inlineStr">
        <is>
          <t>(TEO)</t>
        </is>
      </c>
      <c r="D58" s="11" t="inlineStr">
        <is>
          <t>Department of Housing and Urban Development</t>
        </is>
      </c>
      <c r="E58" s="11" t="inlineStr">
        <is>
          <t>Assistant Secretary for Housing -- Federal Housing Commissioner</t>
        </is>
      </c>
      <c r="F58" s="11" t="inlineStr">
        <is>
          <t>The purpose of the Tenant Education and Outreach (TEO) Program is to support tenant capacity building at eligible existing Project-Based Section 8 properties with the goal of preserving decent, safe, and sanitary housing within the Section 8 program.</t>
        </is>
      </c>
      <c r="G58" s="11" t="inlineStr">
        <is>
          <t>Project Grants</t>
        </is>
      </c>
      <c r="H58" s="11" t="inlineStr">
        <is>
          <t>Individual/Family,Low Income,Specialized group (e.g. health professionals, students, veterans)</t>
        </is>
      </c>
      <c r="I58" s="11" t="inlineStr">
        <is>
          <t>Private nonprofit institution/organization (includes institutions of higher education and hospitals),Profit organization,Small business (less than 500 employees)</t>
        </is>
      </c>
      <c r="J58" s="16" t="n">
        <v>0</v>
      </c>
      <c r="K58" s="16" t="n">
        <v>10000000</v>
      </c>
      <c r="L58" s="16" t="n">
        <v>0</v>
      </c>
      <c r="M58" s="11" t="inlineStr">
        <is>
          <t>[{"x":"2023","sam_estimate":0.0,"sam_actual":16000000.0,"usa_spending_actual":0.0},{"x":"2024","sam_estimate":0.0,"sam_actual":0.0,"usa_spending_actual":10000000.0},{"x":"2025","sam_estimate":0.0,"sam_actual":0.0,"usa_spending_actual":0.0}]</t>
        </is>
      </c>
    </row>
    <row r="59" ht="79.5" customHeight="1">
      <c r="A59" s="11" t="inlineStr">
        <is>
          <t>14.326</t>
        </is>
      </c>
      <c r="B59" s="11" t="inlineStr">
        <is>
          <t>Project Rental Assistance Demonstration (PRA Demo) Program of Section 811 Supportive Housing for Persons with Disabilities</t>
        </is>
      </c>
      <c r="C59" s="11" t="inlineStr">
        <is>
          <t>Section 811 PRA</t>
        </is>
      </c>
      <c r="D59" s="11" t="inlineStr">
        <is>
          <t>Department of Housing and Urban Development</t>
        </is>
      </c>
      <c r="E59" s="11" t="inlineStr">
        <is>
          <t>Assistant Secretary for Housing -- Federal Housing Commissioner</t>
        </is>
      </c>
      <c r="F59" s="11" t="inlineStr">
        <is>
          <t>The Project Rental Assistance (PRA) provides funding to state housing agencies for project-based rental operating assistance for extremely low-income persons with disabilties.  The primary purpose is to identify, stimulate, and support innovate state-level strategies that will transform and increase housing for low-income persons with disabilities while also making available appropriate support and services.</t>
        </is>
      </c>
      <c r="G59" s="11" t="inlineStr">
        <is>
          <t>Project Grants</t>
        </is>
      </c>
      <c r="H59" s="11" t="inlineStr">
        <is>
          <t>Disabled (e.g. Deaf, Blind, Physically Disabled),Individual/Family,Low Income</t>
        </is>
      </c>
      <c r="I59" s="11" t="inlineStr">
        <is>
          <t>Local (includes State-designated lndian Tribes, excludes institutions of higher education and hospitals,State (includes District of Columbia, public institutions of higher education and hospitals)</t>
        </is>
      </c>
      <c r="J59" s="16" t="n">
        <v>0</v>
      </c>
      <c r="K59" s="16" t="n">
        <v>22911882.74</v>
      </c>
      <c r="L59" s="16" t="n">
        <v>3547685.34</v>
      </c>
      <c r="M59" s="11" t="inlineStr">
        <is>
          <t>[{"x":"2023","sam_estimate":0.0,"sam_actual":105999999.0,"usa_spending_actual":3547685.34},{"x":"2024","sam_estimate":0.0,"sam_actual":148000000.0,"usa_spending_actual":22911882.74},{"x":"2025","sam_estimate":0.0,"sam_actual":0.0,"usa_spending_actual":2050839.25}]</t>
        </is>
      </c>
    </row>
    <row r="60" ht="236.25" customHeight="1">
      <c r="A60" s="11" t="inlineStr">
        <is>
          <t>14.327</t>
        </is>
      </c>
      <c r="B60" s="11" t="inlineStr">
        <is>
          <t>Performance Based Contract Administrator Program</t>
        </is>
      </c>
      <c r="C60" s="11" t="inlineStr">
        <is>
          <t>PBCA Program</t>
        </is>
      </c>
      <c r="D60" s="11" t="inlineStr">
        <is>
          <t>Department of Housing and Urban Development</t>
        </is>
      </c>
      <c r="E60" s="11" t="inlineStr">
        <is>
          <t>Assistant Secretary for Housing -- Federal Housing Commissioner</t>
        </is>
      </c>
      <c r="F60" s="11" t="inlineStr">
        <is>
          <t>It is the policy of the United States to promote the general welfare of the Nation by employing funds and credit of the Nation, as established in section 2 of the 1937 Act, of assisting States and their political subdivisions {e.g., Public Housing Authorities (PHA)s} to remedy the unsafe housing conditions and the acute shortage of decent and safe dwellings for low-income families as well as address the shortage of housing affordable to low-income families.  The PBCA program furthers these policies by effectuating authority explicitly under section 8(b)(1) of the 1937 Act for HUD to enter into Annual Contributions Contracts (ACCs) with PHAs for the administration of Section 8 Housing Assistance Payments (HAP) contracts. For the purpose of aiding lower-income families in obtaining a decent place to live and of promoting economically mixed housing, assistance payments may be made with respect to existing housing in accordance with the provisions of this section.  For the project-based subprograms authorized under Section 8, the 1937 Act authorizes HUD to enter into an ACC with a PHA, as defined in section 3(b)(6)(A) of the 1937 Act. The ACC is the contractual mechanism to support the PHA’s public purpose in making the assistance payments to Section 8 project owners. This program provides assistance to PHAs for the administration of Project-Based Section 8 program within a State.</t>
        </is>
      </c>
      <c r="G60" s="11" t="inlineStr">
        <is>
          <t>Direct Payments for a Specified Use</t>
        </is>
      </c>
      <c r="H60" s="11" t="inlineStr">
        <is>
          <t>Low Income</t>
        </is>
      </c>
      <c r="I60" s="11" t="inlineStr">
        <is>
          <t>Other public institution/organization,State</t>
        </is>
      </c>
      <c r="J60" s="16" t="n">
        <v>0</v>
      </c>
      <c r="K60" s="16" t="n">
        <v>0</v>
      </c>
      <c r="L60" s="16" t="n">
        <v>0</v>
      </c>
      <c r="M60" s="11" t="inlineStr">
        <is>
          <t>[{"x":"2023","sam_estimate":0.0,"sam_actual":418000000.0,"usa_spending_actual":0.0},{"x":"2024","sam_estimate":0.0,"sam_actual":448000000.0,"usa_spending_actual":0.0},{"x":"2025","sam_estimate":0.0,"sam_actual":0.0,"usa_spending_actual":0.0}]</t>
        </is>
      </c>
    </row>
    <row r="61" ht="90.75" customHeight="1">
      <c r="A61" s="11" t="inlineStr">
        <is>
          <t>14.401</t>
        </is>
      </c>
      <c r="B61" s="11" t="inlineStr">
        <is>
          <t>Fair Housing Assistance Program</t>
        </is>
      </c>
      <c r="C61" s="11" t="inlineStr">
        <is>
          <t>(FHAP)</t>
        </is>
      </c>
      <c r="D61" s="11" t="inlineStr">
        <is>
          <t>Department of Housing and Urban Development</t>
        </is>
      </c>
      <c r="E61" s="11" t="inlineStr">
        <is>
          <t>Assistant Secretary for Fair Housing and Equal Opportunity</t>
        </is>
      </c>
      <c r="F61" s="11" t="inlineStr">
        <is>
          <t>Provide assistance to State and local fair housing enforcement agencies for complaint processing, training, technical assistance, education and outreach, data and information systems and other activities that will further fair housing within the agency's jurisdiction. The intent of the Fair Housing Assistance Program (FHAP) is to build a coordinated intergovernmental enforcement of fair housing laws and provide incentives for States and localities to assume a greater share of responsibility for administering fair housing laws.</t>
        </is>
      </c>
      <c r="G61" s="11" t="inlineStr">
        <is>
          <t>Formula Grants</t>
        </is>
      </c>
      <c r="H61" s="11" t="inlineStr">
        <is>
          <t>Anyone/general public,Individual/Family</t>
        </is>
      </c>
      <c r="I61" s="11" t="inlineStr">
        <is>
          <t>Other public institution/organization,State</t>
        </is>
      </c>
      <c r="J61" s="16" t="n">
        <v>0</v>
      </c>
      <c r="K61" s="16" t="n">
        <v>22691321.64</v>
      </c>
      <c r="L61" s="16" t="n">
        <v>27732584.92</v>
      </c>
      <c r="M61" s="11" t="inlineStr">
        <is>
          <t>[{"x":"2023","sam_estimate":0.0,"sam_actual":27778249.0,"usa_spending_actual":27732584.92},{"x":"2024","sam_estimate":0.0,"sam_actual":24984994.0,"usa_spending_actual":22691321.64},{"x":"2025","sam_estimate":0.0,"sam_actual":26400000.0,"usa_spending_actual":1702505.78}]</t>
        </is>
      </c>
    </row>
    <row r="62" ht="157.5" customHeight="1">
      <c r="A62" s="11" t="inlineStr">
        <is>
          <t>14.408</t>
        </is>
      </c>
      <c r="B62" s="11" t="inlineStr">
        <is>
          <t>Fair Housing Initiatives Program</t>
        </is>
      </c>
      <c r="C62" s="11" t="inlineStr">
        <is>
          <t>(FHIP) Department of Housing and Urban Development, Office of Fair Housing and Equal Opportunity</t>
        </is>
      </c>
      <c r="D62" s="11" t="inlineStr">
        <is>
          <t>Department of Housing and Urban Development</t>
        </is>
      </c>
      <c r="E62" s="11" t="inlineStr">
        <is>
          <t>Assistant Secretary for Fair Housing and Equal Opportunity</t>
        </is>
      </c>
      <c r="F62" s="11" t="inlineStr">
        <is>
          <t>To develop, implement, carry out, or coordinate programs and/or activities to educate the public about, as well as provide enforcement of, fair housing rights under the Fair Housing Act; 42 U.S.C. 3601-3619 or State or local laws that provide substantially equivalent rights and remedies for alleged discriminatory housing practices. Objectives include provisions for strengthening existing or establishing new fair housing enforcement organizations.</t>
        </is>
      </c>
      <c r="G62" s="11" t="inlineStr">
        <is>
          <t>Project Grants</t>
        </is>
      </c>
      <c r="H62" s="11" t="inlineStr">
        <is>
          <t>Individual/Family,Minority group,Specialized group (e.g. health professionals, students, veterans)</t>
        </is>
      </c>
      <c r="I62" s="11" t="inlineStr">
        <is>
          <t>Local (includes State-designated lndian Tribes, excludes institutions of higher education and hospitals,Private nonprofit institution/organization (includes institutions of higher education and hospitals),Public nonprofit institution/organization (includes institutions of higher education and hospitals),State (includes District of Columbia, public institutions of higher education and hospitals)</t>
        </is>
      </c>
      <c r="J62" s="16" t="n">
        <v>0</v>
      </c>
      <c r="K62" s="16" t="n">
        <v>0</v>
      </c>
      <c r="L62" s="16" t="n">
        <v>0</v>
      </c>
      <c r="M62" s="11" t="inlineStr">
        <is>
          <t>[{"x":"2023","sam_estimate":0.0,"sam_actual":70610068.0,"usa_spending_actual":0.0},{"x":"2024","sam_estimate":0.0,"sam_actual":38945457.0,"usa_spending_actual":0.0},{"x":"2025","sam_estimate":0.0,"sam_actual":56000000.0,"usa_spending_actual":0.0}]</t>
        </is>
      </c>
    </row>
    <row r="63" ht="157.5" customHeight="1">
      <c r="A63" s="11" t="inlineStr">
        <is>
          <t>14.416</t>
        </is>
      </c>
      <c r="B63" s="11" t="inlineStr">
        <is>
          <t>Education and Outreach Initiatives</t>
        </is>
      </c>
      <c r="C63" s="11" t="inlineStr">
        <is>
          <t>(FHIP EOI) Federal Agency   Department of Housing and Urban Development - Office of Fair Housing and Equal Opportunity</t>
        </is>
      </c>
      <c r="D63" s="11" t="inlineStr">
        <is>
          <t>Department of Housing and Urban Development</t>
        </is>
      </c>
      <c r="E63" s="11" t="inlineStr">
        <is>
          <t>Assistant Secretary for Fair Housing and Equal Opportunity</t>
        </is>
      </c>
      <c r="F63" s="11" t="inlineStr">
        <is>
          <t>To assist organizations that are regional and local, community based and National programs, that develop, implement, carry out, or coordinate programs and/or activities to educate the public about their rights under, the Fair Housing Act (42 U.S.C. 3601-3619) or about State or local laws that provide substantially equivalent rights and remedies for alleged discriminatory housing practices.</t>
        </is>
      </c>
      <c r="G63" s="11" t="inlineStr">
        <is>
          <t>Project Grants</t>
        </is>
      </c>
      <c r="H63" s="11" t="inlineStr">
        <is>
          <t>Consumer,Disabled (e.g. Deaf, Blind, Physically Disabled),Homeowner,Individual/Family,Local,Mentally Disabled,Other public institution/organization,Public nonprofit institution/organization,State,Women</t>
        </is>
      </c>
      <c r="I63" s="11" t="inlineStr">
        <is>
          <t>Local (includes State-designated lndian Tribes, excludes institutions of higher education and hospitals,Private nonprofit institution/organization (includes institutions of higher education and hospitals),Public nonprofit institution/organization (includes institutions of higher education and hospitals),State (includes District of Columbia, public institutions of higher education and hospitals)</t>
        </is>
      </c>
      <c r="J63" s="16" t="n">
        <v>0</v>
      </c>
      <c r="K63" s="16" t="n">
        <v>-40015.39</v>
      </c>
      <c r="L63" s="16" t="n">
        <v>-143986.89</v>
      </c>
      <c r="M63" s="11" t="inlineStr">
        <is>
          <t>[{"x":"2023","sam_estimate":0.0,"sam_actual":9889619.0,"usa_spending_actual":-143986.89},{"x":"2024","sam_estimate":0.0,"sam_actual":10466207.0,"usa_spending_actual":-40015.39},{"x":"2025","sam_estimate":0.0,"sam_actual":9600000.0,"usa_spending_actual":0.0}]</t>
        </is>
      </c>
    </row>
    <row r="64" ht="113.25" customHeight="1">
      <c r="A64" s="11" t="inlineStr">
        <is>
          <t>14.417</t>
        </is>
      </c>
      <c r="B64" s="11" t="inlineStr">
        <is>
          <t>Fair Housing Organization Initiatives</t>
        </is>
      </c>
      <c r="C64" s="11" t="inlineStr">
        <is>
          <t>(FHIP FHOI) Federal Agency  Department of Housing and Urban Development - Office of Fair Housing and Equal Opportunity</t>
        </is>
      </c>
      <c r="D64" s="11" t="inlineStr">
        <is>
          <t>Department of Housing and Urban Development</t>
        </is>
      </c>
      <c r="E64" s="11" t="inlineStr">
        <is>
          <t>Assistant Secretary for Fair Housing and Equal Opportunity</t>
        </is>
      </c>
      <c r="F64" s="11" t="inlineStr">
        <is>
          <t>To assist organizations that are regional and local, community based and National programs, that develop, implement, carry out, or coordinate programs and/or activities to educate the public about their rights under, the Fair Housing Act (42 U.S.C. 3601-3619) or about State or local laws that provide substantially equivalent rights and remedies for alleged discriminatory housing practices.</t>
        </is>
      </c>
      <c r="G64" s="11" t="inlineStr">
        <is>
          <t>Project Grants</t>
        </is>
      </c>
      <c r="H64" s="11" t="inlineStr">
        <is>
          <t>Consumer,Disabled (e.g. Deaf, Blind, Physically Disabled),Homeowner,Individual/Family,Local,Mentally Disabled,Public nonprofit institution/organization,State,Women</t>
        </is>
      </c>
      <c r="I64" s="11" t="inlineStr">
        <is>
          <t>Local (includes State-designated lndian Tribes, excludes institutions of higher education and hospitals,Public nonprofit institution/organization (includes institutions of higher education and hospitals),State (includes District of Columbia, public institutions of higher education and hospitals)</t>
        </is>
      </c>
      <c r="J64" s="16" t="n">
        <v>0</v>
      </c>
      <c r="K64" s="16" t="n">
        <v>14136128.68</v>
      </c>
      <c r="L64" s="16" t="n">
        <v>13716085.95</v>
      </c>
      <c r="M64" s="11" t="inlineStr">
        <is>
          <t>[{"x":"2023","sam_estimate":0.0,"sam_actual":3750000.0,"usa_spending_actual":13716085.95},{"x":"2024","sam_estimate":0.0,"sam_actual":3700000.0,"usa_spending_actual":14136128.68},{"x":"2025","sam_estimate":0.0,"sam_actual":2700000.0,"usa_spending_actual":-3210.26}]</t>
        </is>
      </c>
    </row>
    <row r="65" ht="90.75" customHeight="1">
      <c r="A65" s="11" t="inlineStr">
        <is>
          <t>14.418</t>
        </is>
      </c>
      <c r="B65" s="11" t="inlineStr">
        <is>
          <t xml:space="preserve">Private Enforcement Initiatives </t>
        </is>
      </c>
      <c r="C65" s="11" t="inlineStr">
        <is>
          <t>(FHIP PEI) United States Department of Housing and Urban Development - Office of Fair Housing and Equal Opportunity</t>
        </is>
      </c>
      <c r="D65" s="11" t="inlineStr">
        <is>
          <t>Department of Housing and Urban Development</t>
        </is>
      </c>
      <c r="E65" s="11" t="inlineStr">
        <is>
          <t>Assistant Secretary for Fair Housing and Equal Opportunity</t>
        </is>
      </c>
      <c r="F65" s="11" t="inlineStr">
        <is>
          <t>To assist private non-profit fair housing enforcement organizations in the investigation and enforcement of violations of the rights granted under title VIII of the Civil Rights Act of 1968 (42 U.S.C. 2801). To develop, implement, and carry out, related activities and enforcement under the Fair Housing Act or State or local laws that provide substantially equivalent rights and remedies for alleged discriminatory housing practices. Objectives include carrying out testing and other investigative activities.</t>
        </is>
      </c>
      <c r="G65" s="11" t="inlineStr">
        <is>
          <t>Project Grants</t>
        </is>
      </c>
      <c r="H65" s="11" t="inlineStr">
        <is>
          <t>Anyone/general public,Consumer,Disabled (e.g. Deaf, Blind, Physically Disabled),Homeowner,Individual/Family,Local,Mentally Disabled,Public nonprofit institution/organization,State,Women</t>
        </is>
      </c>
      <c r="I65" s="11" t="inlineStr">
        <is>
          <t>Anyone/general public,Individual/Family,Minority group,Public nonprofit institution/organization (includes institutions of higher education and hospitals),State</t>
        </is>
      </c>
      <c r="J65" s="16" t="n">
        <v>0</v>
      </c>
      <c r="K65" s="16" t="n">
        <v>24395900.54</v>
      </c>
      <c r="L65" s="16" t="n">
        <v>56409029.59</v>
      </c>
      <c r="M65" s="11" t="inlineStr">
        <is>
          <t>[{"x":"2023","sam_estimate":0.0,"sam_actual":56871449.0,"usa_spending_actual":56409029.59},{"x":"2024","sam_estimate":0.0,"sam_actual":24779250.0,"usa_spending_actual":24395900.54},{"x":"2025","sam_estimate":0.0,"sam_actual":42300000.0,"usa_spending_actual":10856025.93}]</t>
        </is>
      </c>
    </row>
    <row r="66" ht="90.75" customHeight="1">
      <c r="A66" s="11" t="inlineStr">
        <is>
          <t>14.506</t>
        </is>
      </c>
      <c r="B66" s="11" t="inlineStr">
        <is>
          <t>General Research and Technology Activity</t>
        </is>
      </c>
      <c r="C66" s="11" t="n"/>
      <c r="D66" s="11" t="inlineStr">
        <is>
          <t>Department of Housing and Urban Development</t>
        </is>
      </c>
      <c r="E66" s="11" t="inlineStr">
        <is>
          <t>Assistant Secretary for Policy Development and Research</t>
        </is>
      </c>
      <c r="F66" s="11" t="inlineStr">
        <is>
          <t>What all funding does this listing include? All Core R&amp;T activities (per the PDR Congressional Justifications)? If so, the description/objective should be more broad to include discussion of the other work PDR does with these funds, e.g., Housing Data Infrastructure, Knowledge Management, Dissemination, and Outreach, research partnerships, etc.</t>
        </is>
      </c>
      <c r="G66" s="11" t="inlineStr">
        <is>
          <t>Project Grants</t>
        </is>
      </c>
      <c r="H66" s="11" t="inlineStr">
        <is>
          <t>Federal,Other private institution/organization,Private nonprofit institution/organization,Profit organization,Quasi-public nonprofit organization,Scientist/Researchers,Small business</t>
        </is>
      </c>
      <c r="I66" s="11" t="inlineStr">
        <is>
          <t>Federal,Profit organization,Quasi-public nonprofit institution/organization,Small business (less than 500 employees)</t>
        </is>
      </c>
      <c r="J66" s="16" t="n">
        <v>0</v>
      </c>
      <c r="K66" s="16" t="n">
        <v>5000000</v>
      </c>
      <c r="L66" s="16" t="n">
        <v>7583290.03</v>
      </c>
      <c r="M66" s="11" t="inlineStr">
        <is>
          <t>[{"x":"2023","sam_estimate":0.0,"sam_actual":20671649.0,"usa_spending_actual":7583290.03},{"x":"2024","sam_estimate":0.0,"sam_actual":20000000.0,"usa_spending_actual":5000000.0},{"x":"2025","sam_estimate":0.0,"sam_actual":0.0,"usa_spending_actual":400000.0}]</t>
        </is>
      </c>
    </row>
    <row r="67" ht="213.75" customHeight="1">
      <c r="A67" s="11" t="inlineStr">
        <is>
          <t>14.536</t>
        </is>
      </c>
      <c r="B67" s="11" t="inlineStr">
        <is>
          <t>Research, Evaluation, and Demonstrations</t>
        </is>
      </c>
      <c r="C67" s="11" t="n"/>
      <c r="D67" s="11" t="inlineStr">
        <is>
          <t>Department of Housing and Urban Development</t>
        </is>
      </c>
      <c r="E67" s="11" t="inlineStr">
        <is>
          <t>Assistant Secretary for Policy Development and Research</t>
        </is>
      </c>
      <c r="F67" s="11" t="inlineStr">
        <is>
          <t>This is a Notice of Funding Availability (NOFA) from the Department of Housing and Urban Development’s (HUD) for Research and Evaluation, Demonstrations.  Through this NOFA, HUD plans to solicit applications for cooperative agreements to engage in research, evaluations, demonstrations activities.  Funding will be available under three different categories or “functions”:
Research and Evaluation;  
Demonstrations</t>
        </is>
      </c>
      <c r="G67" s="11" t="inlineStr">
        <is>
          <t>Project Grants</t>
        </is>
      </c>
      <c r="H67" s="11" t="inlineStr">
        <is>
          <t>Education Professional,Federal,Interstate,Local,Other private institution/organization,Other public institution/organization,Private nonprofit institution/organization,Profit organization,Public nonprofit institution/organization,Scientist/Researchers,Sponsored organization,State</t>
        </is>
      </c>
      <c r="I67" s="11" t="inlineStr">
        <is>
          <t>Federal,Government - General,Local (includes State-designated lndian Tribes, excludes institutions of higher education and hospitals,Private nonprofit institution/organization (includes institutions of higher education and hospitals),Profit organization,Public nonprofit institution/organization (includes institutions of higher education and hospitals),Small business (less than 500 employees),Sponsored organization,State (includes District of Columbia, public institutions of higher education and hospitals)</t>
        </is>
      </c>
      <c r="J67" s="16" t="n">
        <v>0</v>
      </c>
      <c r="K67" s="16" t="n">
        <v>3994529.02</v>
      </c>
      <c r="L67" s="16" t="n">
        <v>14854336.57</v>
      </c>
      <c r="M67" s="11" t="inlineStr">
        <is>
          <t>[{"x":"2023","sam_estimate":0.0,"sam_actual":20000000.0,"usa_spending_actual":14854336.57},{"x":"2024","sam_estimate":0.0,"sam_actual":15860000.0,"usa_spending_actual":3994529.02},{"x":"2025","sam_estimate":0.0,"sam_actual":0.0,"usa_spending_actual":0.0}]</t>
        </is>
      </c>
    </row>
    <row r="68" ht="202.5" customHeight="1">
      <c r="A68" s="11" t="inlineStr">
        <is>
          <t>14.537</t>
        </is>
      </c>
      <c r="B68" s="11" t="inlineStr">
        <is>
          <t>Eviction Protection Grant Program</t>
        </is>
      </c>
      <c r="C68" s="11" t="n"/>
      <c r="D68" s="11" t="inlineStr">
        <is>
          <t>Department of Housing and Urban Development</t>
        </is>
      </c>
      <c r="E68" s="11" t="inlineStr">
        <is>
          <t>Assistant Secretary for Policy Development and Research</t>
        </is>
      </c>
      <c r="F68" s="11" t="inlineStr">
        <is>
          <t>The overall purpose of the Eviction Protection Grant Program is to support experienced legal service providers, not limited to legal service corporations, in providing legal assistance at no cost to low-income tenants at risk of or subject to eviction. This grant program plays an integral role in helping individuals and families, including people of color who are disproportionately represented among those evicted, people with limited English proficiency and people with disabilities, avoid eviction or minimize the disruption and damage caused by the eviction process.</t>
        </is>
      </c>
      <c r="G68" s="11" t="inlineStr">
        <is>
          <t>Project Grants</t>
        </is>
      </c>
      <c r="H68" s="11" t="n"/>
      <c r="I68" s="11" t="inlineStr">
        <is>
          <t>Federally Recognized lndian Tribal Governments,Government - General,Local (includes State-designated lndian Tribes, excludes institutions of higher education and hospitals,Other public institution/organization,Public nonprofit institution/organization (includes institutions of higher education and hospitals),Sponsored organization,State,State (includes District of Columbia, public institutions of higher education and hospitals)</t>
        </is>
      </c>
      <c r="J68" s="16" t="n">
        <v>0</v>
      </c>
      <c r="K68" s="16" t="n">
        <v>0</v>
      </c>
      <c r="L68" s="16" t="n">
        <v>0</v>
      </c>
      <c r="M68" s="11" t="inlineStr">
        <is>
          <t>[{"x":"2023","sam_estimate":0.0,"sam_actual":0.0,"usa_spending_actual":0.0},{"x":"2024","sam_estimate":0.0,"sam_actual":30000000.0,"usa_spending_actual":0.0},{"x":"2025","sam_estimate":0.0,"sam_actual":0.0,"usa_spending_actual":0.0}]</t>
        </is>
      </c>
    </row>
    <row r="69" ht="79.5" customHeight="1">
      <c r="A69" s="11" t="inlineStr">
        <is>
          <t>14.850</t>
        </is>
      </c>
      <c r="B69" s="11" t="inlineStr">
        <is>
          <t>Public Housing Operating Fund</t>
        </is>
      </c>
      <c r="C69" s="11" t="inlineStr">
        <is>
          <t>Operating Subsidy Grant</t>
        </is>
      </c>
      <c r="D69" s="11" t="inlineStr">
        <is>
          <t>Department of Housing and Urban Development</t>
        </is>
      </c>
      <c r="E69" s="11" t="inlineStr">
        <is>
          <t>Assistant Secretary for Public and Indian Housing</t>
        </is>
      </c>
      <c r="F69" s="11" t="inlineStr">
        <is>
          <t>To provide and operate cost-effective, decent, safe and affordable dwellings for lower income families through an authorized local Public Housing Agency (PHA).</t>
        </is>
      </c>
      <c r="G69" s="11" t="inlineStr">
        <is>
          <t>Formula Grants</t>
        </is>
      </c>
      <c r="H69" s="11" t="inlineStr">
        <is>
          <t>Disabled (e.g. Deaf, Blind, Physically Disabled),Individual/Family,Low Income,Physically Afflicted (e.g. TB, Arthritis, Heart Disease),Senior Citizen (60+),Unemployed</t>
        </is>
      </c>
      <c r="I69" s="11" t="inlineStr">
        <is>
          <t>Local (includes State-designated lndian Tribes, excludes institutions of higher education and hospitals</t>
        </is>
      </c>
      <c r="J69" s="16" t="n">
        <v>0</v>
      </c>
      <c r="K69" s="16" t="n">
        <v>5247996272.23</v>
      </c>
      <c r="L69" s="16" t="n">
        <v>5119956942.04</v>
      </c>
      <c r="M69" s="11" t="inlineStr">
        <is>
          <t>[{"x":"2023","sam_estimate":0.0,"sam_actual":5049927941.0,"usa_spending_actual":5119956942.04},{"x":"2024","sam_estimate":0.0,"sam_actual":5475784000.0,"usa_spending_actual":5247996272.23},{"x":"2025","sam_estimate":0.0,"sam_actual":5050000000.0,"usa_spending_actual":1810948207.57}]</t>
        </is>
      </c>
    </row>
    <row r="70" ht="180" customHeight="1">
      <c r="A70" s="11" t="inlineStr">
        <is>
          <t>14.856</t>
        </is>
      </c>
      <c r="B70" s="11" t="inlineStr">
        <is>
          <t>Lower Income Housing Assistance Program Section 8 Moderate Rehabilitation</t>
        </is>
      </c>
      <c r="C70" s="11" t="inlineStr">
        <is>
          <t>(Section 8 Housing Assistance Payments Program for Very Low Income Families-Moderate Rehabilitation)</t>
        </is>
      </c>
      <c r="D70" s="11" t="inlineStr">
        <is>
          <t>Department of Housing and Urban Development</t>
        </is>
      </c>
      <c r="E70" s="11" t="inlineStr">
        <is>
          <t>Assistant Secretary for Public and Indian Housing</t>
        </is>
      </c>
      <c r="F70" s="11" t="inlineStr">
        <is>
          <t>The Moderate Rehabilitation (Mod Rehab) program was designed in 1978 to be an expansion of the rental certificate program. The rental certificate program was initially amended to permit moderate levels of rehabilitation to upgrade and preserve the nation's housing stock.</t>
        </is>
      </c>
      <c r="G70" s="11" t="inlineStr">
        <is>
          <t>Direct Payments for a Specified Use</t>
        </is>
      </c>
      <c r="H70" s="11" t="inlineStr">
        <is>
          <t>Anyone/general public,Disabled (e.g. Deaf, Blind, Physically Disabled),Homeowner,Individual/Family,Low Income,Mentally Disabled,Moderate Income,Physically Afflicted (e.g. TB, Arthritis, Heart Disease),Private nonprofit institution/organization,Public nonprofit institution/organization,Refugee/Alien,Senior Citizen (60+),U.S. Citizen,Unemployed,Veteran/Service person/Reservist (including dependents,Welfare Recipient,Women</t>
        </is>
      </c>
      <c r="I70" s="11" t="inlineStr">
        <is>
          <t>Other public institution/organization</t>
        </is>
      </c>
      <c r="J70" s="16" t="n">
        <v>0</v>
      </c>
      <c r="K70" s="16" t="n">
        <v>80033607</v>
      </c>
      <c r="L70" s="16" t="n">
        <v>79095834</v>
      </c>
      <c r="M70" s="11" t="inlineStr">
        <is>
          <t>[{"x":"2023","sam_estimate":0.0,"sam_actual":78900000.0,"usa_spending_actual":79095834.0},{"x":"2024","sam_estimate":0.0,"sam_actual":92800000.0,"usa_spending_actual":80033607.0},{"x":"2025","sam_estimate":0.0,"sam_actual":0.0,"usa_spending_actual":9823503.0}]</t>
        </is>
      </c>
    </row>
    <row r="71" ht="68.25" customHeight="1">
      <c r="A71" s="11" t="inlineStr">
        <is>
          <t>14.862</t>
        </is>
      </c>
      <c r="B71" s="11" t="inlineStr">
        <is>
          <t>Indian Community Development Block Grant Program</t>
        </is>
      </c>
      <c r="C71" s="11" t="inlineStr">
        <is>
          <t>ICDBG</t>
        </is>
      </c>
      <c r="D71" s="11" t="inlineStr">
        <is>
          <t>Department of Housing and Urban Development</t>
        </is>
      </c>
      <c r="E71" s="11" t="inlineStr">
        <is>
          <t>Assistant Secretary for Public and Indian Housing</t>
        </is>
      </c>
      <c r="F71" s="11" t="inlineStr">
        <is>
          <t>The purpose of the Indian Community Development Block Grant (ICDBG) program is the development of viable American Indian and Alaska Native communities, including the creation of decent housing, suitable living environments, and economic opportunities primarily for persons with low- and moderate-incomes.</t>
        </is>
      </c>
      <c r="G71" s="11" t="inlineStr">
        <is>
          <t>Project Grants</t>
        </is>
      </c>
      <c r="H71" s="11" t="inlineStr">
        <is>
          <t>Federally Recognized Indian Tribal Governments,Low Income,Moderate Income,Native American Organizations</t>
        </is>
      </c>
      <c r="I71" s="11" t="inlineStr">
        <is>
          <t>Federally Recognized lndian Tribal Governments,Native American Organizations (includes lndian groups, cooperatives, corporations, partnerships, associations)</t>
        </is>
      </c>
      <c r="J71" s="16" t="n">
        <v>0</v>
      </c>
      <c r="K71" s="16" t="n">
        <v>71242752.42</v>
      </c>
      <c r="L71" s="16" t="n">
        <v>108707070.86</v>
      </c>
      <c r="M71" s="11" t="inlineStr">
        <is>
          <t>[{"x":"2023","sam_estimate":0.0,"sam_actual":100991638.0,"usa_spending_actual":108707070.86},{"x":"2024","sam_estimate":0.0,"sam_actual":72030085.0,"usa_spending_actual":71242752.42},{"x":"2025","sam_estimate":0.0,"sam_actual":150000000.0,"usa_spending_actual":50285716.0}]</t>
        </is>
      </c>
    </row>
    <row r="72" ht="168.75" customHeight="1">
      <c r="A72" s="11" t="inlineStr">
        <is>
          <t>14.865</t>
        </is>
      </c>
      <c r="B72" s="11" t="inlineStr">
        <is>
          <t>Public and Indian Housing Indian Loan Guarantee Program</t>
        </is>
      </c>
      <c r="C72" s="11" t="inlineStr">
        <is>
          <t>Section 184</t>
        </is>
      </c>
      <c r="D72" s="11" t="inlineStr">
        <is>
          <t>Department of Housing and Urban Development</t>
        </is>
      </c>
      <c r="E72" s="11" t="inlineStr">
        <is>
          <t>Assistant Secretary for Public and Indian Housing</t>
        </is>
      </c>
      <c r="F72" s="11" t="inlineStr">
        <is>
          <t>To provide access to sources of private financing so Native American families can become homeowners in Indian Country.</t>
        </is>
      </c>
      <c r="G72" s="11" t="inlineStr">
        <is>
          <t>Guaranteed / Insured Loans</t>
        </is>
      </c>
      <c r="H72" s="11" t="inlineStr">
        <is>
          <t>Federally Recognized Indian Tribal Governments,Local,Native American Organizations,Other private institution/organization,Private nonprofit institution/organization</t>
        </is>
      </c>
      <c r="I72" s="11" t="inlineStr">
        <is>
          <t>Federally Recognized lndian Tribal Governments,Local (includes State-designated lndian Tribes, excludes institutions of higher education and hospitals,Native American Organizations (includes lndian groups, cooperatives, corporations, partnerships, associations),Other private institutions/organizations,Private nonprofit institution/organization (includes institutions of higher education and hospitals)</t>
        </is>
      </c>
      <c r="J72" s="16" t="n">
        <v>0</v>
      </c>
      <c r="K72" s="16" t="n">
        <v>0</v>
      </c>
      <c r="L72" s="16" t="n">
        <v>0</v>
      </c>
      <c r="M72" s="11" t="inlineStr">
        <is>
          <t>[{"x":"2023","sam_estimate":0.0,"sam_actual":271054146.0,"usa_spending_actual":0.0},{"x":"2024","sam_estimate":0.0,"sam_actual":342157979.0,"usa_spending_actual":0.0},{"x":"2025","sam_estimate":0.0,"sam_actual":454000000.0,"usa_spending_actual":0.0}]</t>
        </is>
      </c>
    </row>
    <row r="73" ht="147" customHeight="1">
      <c r="A73" s="11" t="inlineStr">
        <is>
          <t>14.866</t>
        </is>
      </c>
      <c r="B73" s="11" t="inlineStr">
        <is>
          <t>Demolition and Revitalization of Severely Distressed Public Housing</t>
        </is>
      </c>
      <c r="C73" s="11" t="inlineStr">
        <is>
          <t>(HOPE VI)</t>
        </is>
      </c>
      <c r="D73" s="11" t="inlineStr">
        <is>
          <t>Department of Housing and Urban Development</t>
        </is>
      </c>
      <c r="E73" s="11" t="inlineStr">
        <is>
          <t>Assistant Secretary for Public and Indian Housing</t>
        </is>
      </c>
      <c r="F73" s="11" t="inlineStr">
        <is>
          <t>Revitalization Grants enable PHAs to improve the living environment for public housing residents of severely distressed public housing projects through the demolition, substantial rehabilitation, reconfiguration, and/or replacement of severely distressed units; revitalize the sites on which severely distressed public housing projects are located and contribute to the improvement of the surrounding neighborhood; lessen isolation and reduce the concentration of low-income families; build sustainable mixed-income communities; and provide well-coordinated, results-based community and supportive services that directly complement housing redevelopment and that help residents to achieve self-sufficiency, young people to obtain educational excellence, and the community to secure a desirable quality of life.</t>
        </is>
      </c>
      <c r="G73" s="11" t="inlineStr">
        <is>
          <t>Project Grants</t>
        </is>
      </c>
      <c r="H73" s="11" t="inlineStr">
        <is>
          <t>Individual/Family,Low Income,Other Urban,Suburban</t>
        </is>
      </c>
      <c r="I73" s="11" t="inlineStr">
        <is>
          <t>Other public institution/organization</t>
        </is>
      </c>
      <c r="J73" s="16" t="n">
        <v>0</v>
      </c>
      <c r="K73" s="16" t="n">
        <v>1161135.73</v>
      </c>
      <c r="L73" s="16" t="n">
        <v>0</v>
      </c>
      <c r="M73" s="11" t="inlineStr">
        <is>
          <t>[{"x":"2023","sam_estimate":0.0,"sam_actual":0.0,"usa_spending_actual":0.0},{"x":"2024","sam_estimate":0.0,"sam_actual":0.0,"usa_spending_actual":1161135.73},{"x":"2025","sam_estimate":0.0,"sam_actual":0.0,"usa_spending_actual":0.0}]</t>
        </is>
      </c>
    </row>
    <row r="74" ht="180" customHeight="1">
      <c r="A74" s="11" t="inlineStr">
        <is>
          <t>14.867</t>
        </is>
      </c>
      <c r="B74" s="11" t="inlineStr">
        <is>
          <t>Indian Housing Block Grants</t>
        </is>
      </c>
      <c r="C74" s="11" t="inlineStr">
        <is>
          <t>IHBG; Native American Housing Block Grant Program (NAHBG)</t>
        </is>
      </c>
      <c r="D74" s="11" t="inlineStr">
        <is>
          <t>Department of Housing and Urban Development</t>
        </is>
      </c>
      <c r="E74" s="11" t="inlineStr">
        <is>
          <t>Assistant Secretary for Public and Indian Housing</t>
        </is>
      </c>
      <c r="F74" s="11" t="inlineStr">
        <is>
          <t>The Indian Housing Block Grants (IHBG) program is authorized under the Native American Housing Assistance and Self-Determination Act of 1996 (25 U.S.C. §4101 et seq.) (NAHASDA). Regulations for the program, which are found at 24 CFR Part 1000, were written by HUD in negotiation with Tribes and Tribally Designated Housing Entities (TDHEs). The grants, which are awarded based on a formula to Tribes and TDHEs, fund a range of affordable housing activities that primarily benefit low-income American Indian and Alaska Native families living in Indian Country and include activities that: 1) assist and promote affordable housing activities to develop, maintain, and operate affordable housing in safe and healthy environments on Indian reservations and in other Indian areas for occupancy by low-income Indian families; 2) coordinate activities to provide housing for Indian tribes and their members and to promote self-sufficiency and their members; 3) plan for and integrate infrastructure resources for Indian tribes with housing development for Indian tribes.</t>
        </is>
      </c>
      <c r="G74" s="11" t="inlineStr">
        <is>
          <t>Formula Grants,Project Grants</t>
        </is>
      </c>
      <c r="H74" s="11" t="inlineStr">
        <is>
          <t>American Indian,Federally Recognized Indian Tribal Governments,Low Income,Minority group,Moderate Income</t>
        </is>
      </c>
      <c r="I74" s="11" t="inlineStr">
        <is>
          <t>Federally Recognized lndian Tribal Governments,Local (includes State-designated lndian Tribes, excludes institutions of higher education and hospitals,Minority group</t>
        </is>
      </c>
      <c r="J74" s="16" t="n">
        <v>0</v>
      </c>
      <c r="K74" s="16" t="n">
        <v>1256382595.77</v>
      </c>
      <c r="L74" s="16" t="n">
        <v>935786616.0599999</v>
      </c>
      <c r="M74" s="11" t="inlineStr">
        <is>
          <t>[{"x":"2023","sam_estimate":0.0,"sam_actual":915882053.0,"usa_spending_actual":935786616.06},{"x":"2024","sam_estimate":0.0,"sam_actual":1257621361.0,"usa_spending_actual":1256382595.77},{"x":"2025","sam_estimate":0.0,"sam_actual":970000000.0,"usa_spending_actual":21003461.0}]</t>
        </is>
      </c>
    </row>
    <row r="75" ht="68.25" customHeight="1">
      <c r="A75" s="11" t="inlineStr">
        <is>
          <t>14.869</t>
        </is>
      </c>
      <c r="B75" s="11" t="inlineStr">
        <is>
          <t>Title VI Federal Guarantees for Financing Tribal Housing Activities</t>
        </is>
      </c>
      <c r="C75" s="11" t="inlineStr">
        <is>
          <t>Title VI</t>
        </is>
      </c>
      <c r="D75" s="11" t="inlineStr">
        <is>
          <t>Department of Housing and Urban Development</t>
        </is>
      </c>
      <c r="E75" s="11" t="inlineStr">
        <is>
          <t>Assistant Secretary for Public and Indian Housing</t>
        </is>
      </c>
      <c r="F75" s="11" t="inlineStr">
        <is>
          <t>To provide access to sources of private financing to Indian Housing Block Grant recipients that want to finance additional grant-eligible affordable housing and related community development projects.</t>
        </is>
      </c>
      <c r="G75" s="11" t="inlineStr">
        <is>
          <t>Guaranteed / Insured Loans</t>
        </is>
      </c>
      <c r="H75" s="11" t="inlineStr">
        <is>
          <t>American Indian,Native American Organizations</t>
        </is>
      </c>
      <c r="I75" s="11" t="inlineStr">
        <is>
          <t>Federally Recognized lndian Tribal Governments</t>
        </is>
      </c>
      <c r="J75" s="16" t="n">
        <v>0</v>
      </c>
      <c r="K75" s="16" t="n">
        <v>0</v>
      </c>
      <c r="L75" s="16" t="n">
        <v>0</v>
      </c>
      <c r="M75" s="11" t="inlineStr">
        <is>
          <t>[{"x":"2023","sam_estimate":0.0,"sam_actual":8000000.0,"usa_spending_actual":0.0},{"x":"2024","sam_estimate":0.0,"sam_actual":10201175.0,"usa_spending_actual":0.0},{"x":"2025","sam_estimate":0.0,"sam_actual":20000000.0,"usa_spending_actual":0.0}]</t>
        </is>
      </c>
    </row>
    <row r="76" ht="225" customHeight="1">
      <c r="A76" s="11" t="inlineStr">
        <is>
          <t>14.870</t>
        </is>
      </c>
      <c r="B76" s="11" t="inlineStr">
        <is>
          <t>Resident Opportunity and Supportive Services - Service Coordinators</t>
        </is>
      </c>
      <c r="C76" s="11" t="inlineStr">
        <is>
          <t>(ROSS Service Coordinators)</t>
        </is>
      </c>
      <c r="D76" s="11" t="inlineStr">
        <is>
          <t>Department of Housing and Urban Development</t>
        </is>
      </c>
      <c r="E76" s="11" t="inlineStr">
        <is>
          <t>Assistant Secretary for Public and Indian Housing</t>
        </is>
      </c>
      <c r="F76" s="11" t="inlineStr">
        <is>
          <t>To address the economic and housing self-sufficiency needs of public and Indian housing residents by providing grant-funded service coordinators who link residents to the supportive services they need in order to achieve economic and housing self-sufficiency; and for elderly/disabled residents to continue to age/reside in place and avoid costlier forms of care.</t>
        </is>
      </c>
      <c r="G76" s="11" t="inlineStr">
        <is>
          <t>Project Grants</t>
        </is>
      </c>
      <c r="H76" s="11" t="inlineStr">
        <is>
          <t>Disabled (e.g. Deaf, Blind, Physically Disabled),Federally Recognized Indian Tribal Governments,Individual/Family,Low Income,Mentally Disabled,Minority group,Moderate Income,Native American Organizations,Other private institution/organization,Other public institution/organization,Physically Afflicted (e.g. TB, Arthritis, Heart Disease),Public nonprofit institution/organization,Senior Citizen (60+),Sponsored organization,Unemployed,Veteran/Service person/Reservist (including dependents,Welfare Recipient,Women</t>
        </is>
      </c>
      <c r="I76" s="11" t="inlineStr">
        <is>
          <t>Federally Recognized lndian Tribal Governments,Native American Organizations (includes lndian groups, cooperatives, corporations, partnerships, associations),Other public institution/organization,Public nonprofit institution/organization (includes institutions of higher education and hospitals)</t>
        </is>
      </c>
      <c r="J76" s="16" t="n">
        <v>0</v>
      </c>
      <c r="K76" s="16" t="n">
        <v>652162</v>
      </c>
      <c r="L76" s="16" t="n">
        <v>-3136190.77</v>
      </c>
      <c r="M76" s="11" t="inlineStr">
        <is>
          <t>[{"x":"2023","sam_estimate":0.0,"sam_actual":30556772.0,"usa_spending_actual":-3136190.77},{"x":"2024","sam_estimate":0.0,"sam_actual":39696716.0,"usa_spending_actual":652162.0},{"x":"2025","sam_estimate":0.0,"sam_actual":35000000.0,"usa_spending_actual":0.0}]</t>
        </is>
      </c>
    </row>
    <row r="77" ht="409.6" customHeight="1">
      <c r="A77" s="11" t="inlineStr">
        <is>
          <t>14.871</t>
        </is>
      </c>
      <c r="B77" s="11" t="inlineStr">
        <is>
          <t>Section 8 Housing Choice Vouchers</t>
        </is>
      </c>
      <c r="C77" s="11" t="n"/>
      <c r="D77" s="11" t="inlineStr">
        <is>
          <t>Department of Housing and Urban Development</t>
        </is>
      </c>
      <c r="E77" s="11" t="inlineStr">
        <is>
          <t>Assistant Secretary for Public and Indian Housing</t>
        </is>
      </c>
      <c r="F77" s="11" t="inlineStr">
        <is>
          <t>The housing choice voucher program is the federal government's major program for assisting very low-income families, the elderly, and the disabled to afford decent, safe, and sanitary housing in the private market. Since housing assistance is provided on behalf of the family or individual, participants are able to find their own housing, including single-family homes, townhouses and apartments. The participant is free to choose any housing that meets the requirements of the program and is not limited to units located in subsidized housing projects. The program serves the most economically vulnerable families in the country, including families with disabilities, elderly families, formerly homeless veterans, and families with children, through federal assistance voucher payments in the provision of meeting their rental housing needs. HUD regulations merged the former Section 8 Rental Voucher program (14.855) with the former Section 8 Certificate program (14.857). Section 502 of the Public Housing Reform Act states that a purpose of the legislation is "consolidating the voucher and certificate programs for rental assistance under Section 8 of the United States Housing Act of 1937 (the "USHA") into a single market-driven program that will assist in making tenant-based rental assistance more successful at helping low-income families obtain affordable housing and will increase housing choice for low-income families". The HCVP is administered by local public housing agencies (PHAs) authorized under State law to operate housing programs within an area or jurisdiction. The PHAs receive federal funds from the U.S. Department of Housing and Urban Development (HUD) to administer the voucher program. The PHA accepts a family’s application for rental assistance, selects the applicant family for admission, and issues the selected family a voucher confirming the family’s eligibility for assistance. The family must then find and lease a dwelling unit suitable to the family’s needs and desires in the private rental market. The PHAs sign Housing Assistant Payment contracts with the landlords, and housing subsidy is paid to the landlord directly by the PHA on behalf of the participating family. The family then pays the difference between the actual rent charged by the landlord and the amount subsidized by the program. Under certain circumstances, if authorized by the PHA, a family may use its voucher to purchase a modest home.</t>
        </is>
      </c>
      <c r="G77" s="11" t="inlineStr">
        <is>
          <t>Direct Payments for a Specified Use</t>
        </is>
      </c>
      <c r="H77" s="11" t="inlineStr">
        <is>
          <t>Anyone/general public,Individual/Family,Low Income,Minority group,Moderate Income,Other Urban,Refugee/Alien,Rural,Senior Citizen (60+),Suburban,U.S. Citizen,Unemployed,Veteran/Service person/Reservist (including dependents,Welfare Recipient,Women</t>
        </is>
      </c>
      <c r="I77" s="11" t="inlineStr">
        <is>
          <t>Other private institutions/organizations,Private nonprofit institution/organization (includes institutions of higher education and hospitals),Public nonprofit institution/organization (includes institutions of higher education and hospitals),State (includes District of Columbia, public institutions of higher education and hospitals)</t>
        </is>
      </c>
      <c r="J77" s="16" t="n">
        <v>0</v>
      </c>
      <c r="K77" s="16" t="n">
        <v>32528852267.33</v>
      </c>
      <c r="L77" s="16" t="n">
        <v>29977913903.21</v>
      </c>
      <c r="M77" s="11" t="inlineStr">
        <is>
          <t>[{"x":"2023","sam_estimate":0.0,"sam_actual":30225095115.0,"usa_spending_actual":29977913903.21},{"x":"2024","sam_estimate":0.0,"sam_actual":31732681456.0,"usa_spending_actual":32528852267.33},{"x":"2025","sam_estimate":0.0,"sam_actual":33625000000.0,"usa_spending_actual":10861519361.09}]</t>
        </is>
      </c>
    </row>
    <row r="78" ht="79.5" customHeight="1">
      <c r="A78" s="11" t="inlineStr">
        <is>
          <t>14.872</t>
        </is>
      </c>
      <c r="B78" s="11" t="inlineStr">
        <is>
          <t>Public Housing Capital Fund</t>
        </is>
      </c>
      <c r="C78" s="11" t="inlineStr">
        <is>
          <t>(CFP)</t>
        </is>
      </c>
      <c r="D78" s="11" t="inlineStr">
        <is>
          <t>Department of Housing and Urban Development</t>
        </is>
      </c>
      <c r="E78" s="11" t="inlineStr">
        <is>
          <t>Assistant Secretary for Public and Indian Housing</t>
        </is>
      </c>
      <c r="F78" s="11" t="inlineStr">
        <is>
          <t>The Capital Fund provides funds annually to Public Housing Agencies (PHAs) for capital and management activities, including modernization and development of public housing. The Capital fund also permits PHAs to use Capital Funds for financing activities, including payments of debt service and customary financing costs, in standard PHA developments and in mixed-finance developments which include Public Housing.</t>
        </is>
      </c>
      <c r="G78" s="11" t="inlineStr">
        <is>
          <t>Formula Grants</t>
        </is>
      </c>
      <c r="H78" s="11" t="inlineStr">
        <is>
          <t>Low Income</t>
        </is>
      </c>
      <c r="I78" s="11" t="inlineStr">
        <is>
          <t>Local (includes State-designated lndian Tribes, excludes institutions of higher education and hospitals,State (includes District of Columbia, public institutions of higher education and hospitals)</t>
        </is>
      </c>
      <c r="J78" s="16" t="n">
        <v>0</v>
      </c>
      <c r="K78" s="16" t="n">
        <v>3265805734.17</v>
      </c>
      <c r="L78" s="16" t="n">
        <v>3441762471.69</v>
      </c>
      <c r="M78" s="11" t="inlineStr">
        <is>
          <t>[{"x":"2023","sam_estimate":0.0,"sam_actual":3192113014.0,"usa_spending_actual":3441762471.69},{"x":"2024","sam_estimate":0.0,"sam_actual":3188665925.0,"usa_spending_actual":3265805734.17},{"x":"2025","sam_estimate":0.0,"sam_actual":3200000000.0,"usa_spending_actual":7210310.0}]</t>
        </is>
      </c>
    </row>
    <row r="79" ht="68.25" customHeight="1">
      <c r="A79" s="11" t="inlineStr">
        <is>
          <t>14.873</t>
        </is>
      </c>
      <c r="B79" s="11" t="inlineStr">
        <is>
          <t>Native Hawaiian Housing Block Grants</t>
        </is>
      </c>
      <c r="C79" s="11" t="n"/>
      <c r="D79" s="11" t="inlineStr">
        <is>
          <t>Department of Housing and Urban Development</t>
        </is>
      </c>
      <c r="E79" s="11" t="inlineStr">
        <is>
          <t>Assistant Secretary for Public and Indian Housing</t>
        </is>
      </c>
      <c r="F79" s="11" t="inlineStr">
        <is>
          <t>To provide funds to carry out affordable housing activities, including rental assistance both on and off the Hawaiian home lands, for eligible low-income Native Hawaiians.</t>
        </is>
      </c>
      <c r="G79" s="11" t="inlineStr">
        <is>
          <t>Project Grants</t>
        </is>
      </c>
      <c r="H79" s="11" t="inlineStr">
        <is>
          <t>Specialized group (e.g. health professionals, students, veterans)</t>
        </is>
      </c>
      <c r="I79" s="11" t="inlineStr">
        <is>
          <t>Specialized group (e.g. health professionals, students, veterans)</t>
        </is>
      </c>
      <c r="J79" s="16" t="n">
        <v>0</v>
      </c>
      <c r="K79" s="16" t="n">
        <v>22300000</v>
      </c>
      <c r="L79" s="16" t="n">
        <v>22802306.59</v>
      </c>
      <c r="M79" s="11" t="inlineStr">
        <is>
          <t>[{"x":"2023","sam_estimate":0.0,"sam_actual":22802306.0,"usa_spending_actual":22802306.59},{"x":"2024","sam_estimate":0.0,"sam_actual":22300000.0,"usa_spending_actual":22300000.0},{"x":"2025","sam_estimate":0.0,"sam_actual":22300000.0,"usa_spending_actual":0.0}]</t>
        </is>
      </c>
    </row>
    <row r="80" ht="90.75" customHeight="1">
      <c r="A80" s="11" t="inlineStr">
        <is>
          <t>14.874</t>
        </is>
      </c>
      <c r="B80" s="11" t="inlineStr">
        <is>
          <t xml:space="preserve">Loan Guarantees for Native Hawaiian Housing </t>
        </is>
      </c>
      <c r="C80" s="11" t="inlineStr">
        <is>
          <t>Section 184A</t>
        </is>
      </c>
      <c r="D80" s="11" t="inlineStr">
        <is>
          <t>Department of Housing and Urban Development</t>
        </is>
      </c>
      <c r="E80" s="11" t="inlineStr">
        <is>
          <t>Assistant Secretary for Public and Indian Housing</t>
        </is>
      </c>
      <c r="F80" s="11" t="inlineStr">
        <is>
          <t>To provide access to sources of private financing on  Hawaiian home lands.</t>
        </is>
      </c>
      <c r="G80" s="11" t="inlineStr">
        <is>
          <t>Guaranteed / Insured Loans</t>
        </is>
      </c>
      <c r="H80" s="11" t="inlineStr">
        <is>
          <t>Individual/Family</t>
        </is>
      </c>
      <c r="I80" s="11" t="inlineStr">
        <is>
          <t>Individual/Family,Interstate,Private nonprofit institution/organization (includes institutions of higher education and hospitals),Quasi-public nonprofit institution/organization</t>
        </is>
      </c>
      <c r="J80" s="16" t="n">
        <v>0</v>
      </c>
      <c r="K80" s="16" t="n">
        <v>0</v>
      </c>
      <c r="L80" s="16" t="n">
        <v>0</v>
      </c>
      <c r="M80" s="11" t="inlineStr">
        <is>
          <t>[{"x":"2023","sam_estimate":0.0,"sam_actual":4924541.0,"usa_spending_actual":0.0},{"x":"2024","sam_estimate":0.0,"sam_actual":3271898.0,"usa_spending_actual":0.0},{"x":"2025","sam_estimate":0.0,"sam_actual":9000000.0,"usa_spending_actual":0.0}]</t>
        </is>
      </c>
    </row>
    <row r="81" ht="102" customHeight="1">
      <c r="A81" s="11" t="inlineStr">
        <is>
          <t>14.878</t>
        </is>
      </c>
      <c r="B81" s="11" t="inlineStr">
        <is>
          <t>Affordable Housing Development in Main Street Rejuvenation Projects</t>
        </is>
      </c>
      <c r="C81" s="11" t="inlineStr">
        <is>
          <t>(Main Street)</t>
        </is>
      </c>
      <c r="D81" s="11" t="inlineStr">
        <is>
          <t>Department of Housing and Urban Development</t>
        </is>
      </c>
      <c r="E81" s="11" t="inlineStr">
        <is>
          <t>Assistant Secretary for Public and Indian Housing</t>
        </is>
      </c>
      <c r="F81" s="11" t="inlineStr">
        <is>
          <t>To assist small communities with populations of 50,000 or less and 100 Public Housing units or less in the rejuvenation of historic or traditional central business districts or "Main Street Areas" by replacing unused commercial space in buildings with Affordable housing units. The objectives of the program are to: (1) Redevelop Main Street Areas; (2) Preserve historic or traditional architecture or design features in Main Street Areas; (3) Enhance economic development efforts in Main Street Areas; and (4) Provide affordable housing in Main Street Areas.</t>
        </is>
      </c>
      <c r="G81" s="11" t="inlineStr">
        <is>
          <t>Project Grants</t>
        </is>
      </c>
      <c r="H81" s="11" t="inlineStr">
        <is>
          <t>Builder/Contractor/Developer,Individual/Family,Land/Property Owner,Local,Low Income,Other public institution/organization,Rural,Suburban,U.S. Territories</t>
        </is>
      </c>
      <c r="I81" s="11" t="inlineStr">
        <is>
          <t>Local (includes State-designated lndian Tribes, excludes institutions of higher education and hospitals</t>
        </is>
      </c>
      <c r="J81" s="16" t="n">
        <v>0</v>
      </c>
      <c r="K81" s="16" t="n">
        <v>0</v>
      </c>
      <c r="L81" s="16" t="n">
        <v>0</v>
      </c>
      <c r="M81" s="11" t="inlineStr">
        <is>
          <t>[{"x":"2023","sam_estimate":0.0,"sam_actual":0.0,"usa_spending_actual":0.0},{"x":"2024","sam_estimate":0.0,"sam_actual":2000000.0,"usa_spending_actual":0.0},{"x":"2025","sam_estimate":0.0,"sam_actual":0.0,"usa_spending_actual":0.0}]</t>
        </is>
      </c>
    </row>
    <row r="82" ht="409.6" customHeight="1">
      <c r="A82" s="11" t="inlineStr">
        <is>
          <t>14.879</t>
        </is>
      </c>
      <c r="B82" s="11" t="inlineStr">
        <is>
          <t>Mainstream Vouchers</t>
        </is>
      </c>
      <c r="C82" s="11" t="n"/>
      <c r="D82" s="11" t="inlineStr">
        <is>
          <t>Department of Housing and Urban Development</t>
        </is>
      </c>
      <c r="E82" s="11" t="inlineStr">
        <is>
          <t>Assistant Secretary for Public and Indian Housing</t>
        </is>
      </c>
      <c r="F82" s="11" t="inlineStr">
        <is>
          <t>The Mainstream Vouchers (previously referred to as the Mainstream 5-Year Program and/or the Section 811 Voucher Program) were originally authorized under the National Affordable Housing Act of 1990 (P.L. 101-625). The Mainstream Vouchers provides tenant-based assistance to persons with disabilities. Until the passage of the Frank Melville Supportive Housing Investment Act of 2010 (P.L. 111-374) (Melville Act), the program operated as a separate program distinct from the regular tenant-based Housing Choice Voucher Program. The Melville Act converted the Mainstream 5-Year Program to the Housing Choice Voucher (HCV) Program under 8(o) of the U.S. Housing Act of 1937. Under the Melville Act, except for serving a specific population, Mainstream vouchers are to be treated the same as regular voucher assistance. In other words, the same regulations at 24 CFR Part 982 (Section 8 Tenant-Based Assistance: Housing Choice Voucher Program) apply to Mainstream vouchers. There is no authority to treat families that receive a Mainstream voucher differently from other applicants and participants of the HCV program. After enactment of the Melville Act (i.e., subsequent to conversion of this assistance to section 8(o) voucher assistance), funding for Mainstream voucher renewals and administrative fees was first provided in the Consolidated and Further Continuing Appropriations Act, 2012 (P.L. 112-55) under its own paragraph under the Tenant-Based Rental Assistance (TBRA) heading. The Consolidated Appropriations Act, 2017 provided funding for incremental Mainstream vouchers for the first time since the enactment of the Melville Act (in addition to renewal and administrative fee funding). These incremental vouchers exclusively assisted non-elderly persons with disabilities. The Consolidated Appropriations Act, 2018 and the Consolidated Appropriations Act, 2019 ("2019 Act") also provided funding for incremental Mainstream vouchers for non-elderly persons with disabilities, in addition to renewal and administrative fee funding. In addition, the 2019 Act states that all new and existing Mainstream vouchers must be provided to non-elderly persons with disabilities upon turnover. Consistent with prior appropriations acts, all funding for 2017-2019 Mainstream vouchers was provided under its own paragraph (e.g., paragraph (4) under the TBRA heading in the 2019 Act). While the Melville Act requires Mainstream vouchers to be treated the same as regular voucher assistance, the separate HCV Mainstream appropriations results in an accounting of Mainstream activity separate from the HCV program.</t>
        </is>
      </c>
      <c r="G82" s="11" t="inlineStr">
        <is>
          <t>Direct Payments for a Specified Use</t>
        </is>
      </c>
      <c r="H82" s="11" t="inlineStr">
        <is>
          <t>Disabled (e.g. Deaf, Blind, Physically Disabled),Mentally Disabled</t>
        </is>
      </c>
      <c r="I82" s="11" t="inlineStr">
        <is>
          <t>State</t>
        </is>
      </c>
      <c r="J82" s="16" t="n">
        <v>0</v>
      </c>
      <c r="K82" s="16" t="n">
        <v>624803514</v>
      </c>
      <c r="L82" s="16" t="n">
        <v>717062072</v>
      </c>
      <c r="M82" s="11" t="inlineStr">
        <is>
          <t>[{"x":"2023","sam_estimate":0.0,"sam_actual":716993321.0,"usa_spending_actual":717062072.0},{"x":"2024","sam_estimate":0.0,"sam_actual":625709592.0,"usa_spending_actual":624803514.0},{"x":"2025","sam_estimate":0.0,"sam_actual":701000000.0,"usa_spending_actual":240504634.0}]</t>
        </is>
      </c>
    </row>
    <row r="83" ht="180" customHeight="1">
      <c r="A83" s="11" t="inlineStr">
        <is>
          <t>14.880</t>
        </is>
      </c>
      <c r="B83" s="11" t="inlineStr">
        <is>
          <t>Family Unification Program (FUP)</t>
        </is>
      </c>
      <c r="C83" s="11" t="n"/>
      <c r="D83" s="11" t="inlineStr">
        <is>
          <t>Department of Housing and Urban Development</t>
        </is>
      </c>
      <c r="E83" s="11" t="inlineStr">
        <is>
          <t>Assistant Secretary for Public and Indian Housing</t>
        </is>
      </c>
      <c r="F83" s="11" t="inlineStr">
        <is>
          <t>To aid: (1) Families for whom the lack of adequate housing is a primary factor in: a. The imminent placement of the family’s child or children in out-of-home care, or b. The delay in the discharge of the child or children to the family from out-of-home care. (2) For a period not to exceed 36 months, otherwise eligible youths who have attained at least 18 years and not more than 24 years of age and who have left foster care, or will leave foster care within 90 days, in accordance with a transition plan described in section 475(5)(H) of the Social Security Act and is homeless or is at risk of becoming homeless at age 16 or older. FUP- eligible families and youths may use these Housing Choice Vouchers (HVCs) to obtain decent, safe, and affordable housing units in the private rental market. Where appropriations provide for FUP assistance to be targeted to FUP-eligible youth only, HUD uses the name Foster Youth to Independence to create a distinction between regular FUP allocations and allocations targeted to FUP-eligible youth only.</t>
        </is>
      </c>
      <c r="G83" s="11" t="inlineStr">
        <is>
          <t>Direct Payments for a Specified Use</t>
        </is>
      </c>
      <c r="H83" s="11" t="inlineStr">
        <is>
          <t>Individual/Family,Low Income,Refugee/Alien,U.S. Citizen,Unemployed,Veteran/Service person/Reservist (including dependents,Welfare Recipient,Women</t>
        </is>
      </c>
      <c r="I83" s="11" t="inlineStr">
        <is>
          <t>Public nonprofit institution/organization (includes institutions of higher education and hospitals),State (includes District of Columbia, public institutions of higher education and hospitals)</t>
        </is>
      </c>
      <c r="J83" s="16" t="n">
        <v>0</v>
      </c>
      <c r="K83" s="16" t="n">
        <v>-1252495.87</v>
      </c>
      <c r="L83" s="16" t="n">
        <v>-518570.68</v>
      </c>
      <c r="M83" s="11" t="inlineStr">
        <is>
          <t>[{"x":"2023","sam_estimate":0.0,"sam_actual":39000000.0,"usa_spending_actual":-518570.68},{"x":"2024","sam_estimate":0.0,"sam_actual":0.0,"usa_spending_actual":-1252495.87},{"x":"2025","sam_estimate":0.0,"sam_actual":0.0,"usa_spending_actual":0.0}]</t>
        </is>
      </c>
    </row>
    <row r="84" ht="90.75" customHeight="1">
      <c r="A84" s="11" t="inlineStr">
        <is>
          <t>14.881</t>
        </is>
      </c>
      <c r="B84" s="11" t="inlineStr">
        <is>
          <t>Moving to Work Demonstration Program</t>
        </is>
      </c>
      <c r="C84" s="11" t="n"/>
      <c r="D84" s="11" t="inlineStr">
        <is>
          <t>Department of Housing and Urban Development</t>
        </is>
      </c>
      <c r="E84" s="11" t="inlineStr">
        <is>
          <t>Assistant Secretary for Public and Indian Housing</t>
        </is>
      </c>
      <c r="F84" s="11" t="inlineStr">
        <is>
          <t>Moving to Work (MTW) is a demonstration program for public housing authorities (PHAs) that provides opportunities to design and test innovative, locally designed strategies that use Federal dollars more efficiently, help residents find employment and become self-sufficient, and increase housing choices for low-income families. MTW allows PHAs exemptions from many existing public housing and voucher rules and provides funding flexibility with how they use their Federal funds.</t>
        </is>
      </c>
      <c r="G84" s="11" t="inlineStr">
        <is>
          <t>Formula Grants</t>
        </is>
      </c>
      <c r="H84" s="11" t="inlineStr">
        <is>
          <t>Low Income</t>
        </is>
      </c>
      <c r="I84" s="11" t="inlineStr">
        <is>
          <t>Local (includes State-designated lndian Tribes, excludes institutions of higher education and hospitals</t>
        </is>
      </c>
      <c r="J84" s="16" t="n">
        <v>0</v>
      </c>
      <c r="K84" s="16" t="n">
        <v>0</v>
      </c>
      <c r="L84" s="16" t="n">
        <v>0</v>
      </c>
      <c r="M84" s="11" t="inlineStr">
        <is>
          <t>[{"x":"2023","sam_estimate":0.0,"sam_actual":0.0,"usa_spending_actual":0.0},{"x":"2024","sam_estimate":0.0,"sam_actual":0.0,"usa_spending_actual":0.0},{"x":"2025","sam_estimate":0.0,"sam_actual":0.0,"usa_spending_actual":0.0}]</t>
        </is>
      </c>
    </row>
    <row r="85" ht="147" customHeight="1">
      <c r="A85" s="11" t="inlineStr">
        <is>
          <t>14.888</t>
        </is>
      </c>
      <c r="B85" s="11" t="inlineStr">
        <is>
          <t>Lead-Based Paint Capital Fund Program</t>
        </is>
      </c>
      <c r="C85" s="11" t="inlineStr">
        <is>
          <t>Lead-based Paint (LBP) and Other Housing-Related Hazards (HRH) Combined NOFO</t>
        </is>
      </c>
      <c r="D85" s="11" t="inlineStr">
        <is>
          <t>Department of Housing and Urban Development</t>
        </is>
      </c>
      <c r="E85" s="11" t="inlineStr">
        <is>
          <t>Assistant Secretary for Public and Indian Housing</t>
        </is>
      </c>
      <c r="F85" s="11" t="inlineStr">
        <is>
          <t>The Lead-Based Paint and Housing-Related Hazards are for Public Housing Authorities (PHAs) to evaluate and reduce lead-based paint and other housing-related hazards including carbon monoxide and mold in public housing, and for other costs associated with public housing asset improvement. The Lead-Based Paint Capital Fund Program provides competitive grants to PHAs to evaluate and reduce lead-based paint hazards in public housing by carrying out the activities of risk assessments, abatement, and interim controls (as those terms are defined in section 1004 of the Residential Lead-Based Paint Hazard Reduction Act of 1992 (42 U.S.C. 4851b)). The Housing-Related Hazards Capital Fund Program provides funds for PHAs to prevent and correct significant housing-related health and safety hazards such as mold and carbon monoxide in public housing.</t>
        </is>
      </c>
      <c r="G85" s="11" t="inlineStr">
        <is>
          <t>Project Grants</t>
        </is>
      </c>
      <c r="H85" s="11" t="inlineStr">
        <is>
          <t>Individual/Family,Low Income</t>
        </is>
      </c>
      <c r="I85" s="11" t="inlineStr">
        <is>
          <t>Other public institution/organization</t>
        </is>
      </c>
      <c r="J85" s="16" t="n">
        <v>0</v>
      </c>
      <c r="K85" s="16" t="n">
        <v>45634890</v>
      </c>
      <c r="L85" s="16" t="n">
        <v>34752420</v>
      </c>
      <c r="M85" s="11" t="inlineStr">
        <is>
          <t>[{"x":"2023","sam_estimate":0.0,"sam_actual":150925165.0,"usa_spending_actual":34752420.0},{"x":"2024","sam_estimate":0.0,"sam_actual":87740890.0,"usa_spending_actual":45634890.0},{"x":"2025","sam_estimate":0.0,"sam_actual":65000000.0,"usa_spending_actual":0.0}]</t>
        </is>
      </c>
    </row>
    <row r="86" ht="102" customHeight="1">
      <c r="A86" s="11" t="inlineStr">
        <is>
          <t>14.889</t>
        </is>
      </c>
      <c r="B86" s="11" t="inlineStr">
        <is>
          <t>Choice Neighborhoods Implementation Grants</t>
        </is>
      </c>
      <c r="C86" s="11" t="n"/>
      <c r="D86" s="11" t="inlineStr">
        <is>
          <t>Department of Housing and Urban Development</t>
        </is>
      </c>
      <c r="E86" s="11" t="inlineStr">
        <is>
          <t>Assistant Secretary for Public and Indian Housing</t>
        </is>
      </c>
      <c r="F86" s="11" t="inlineStr">
        <is>
          <t>Choice Neighborhoods Implementation Grants provide funds to implement comprehensive plans for community revitalization centered on redeveloping severely distressed public housing and/or HUD-assisted housing. The program aims to transform neighborhoods of poverty into viable mixed-income neighborhoods by revitalizing a target housing projects and catalyzing critical improvements in the neighborhood, including commercial and retail development, recreational amenities, social services and improved educational opportunities.</t>
        </is>
      </c>
      <c r="G86" s="11" t="inlineStr">
        <is>
          <t>Project Grants</t>
        </is>
      </c>
      <c r="H86" s="11" t="inlineStr">
        <is>
          <t>Anyone/general public,Local,Low Income,Moderate Income,Private nonprofit institution/organization</t>
        </is>
      </c>
      <c r="I86" s="11" t="inlineStr">
        <is>
          <t>Local (includes State-designated lndian Tribes, excludes institutions of higher education and hospitals,Private nonprofit institution/organization (includes institutions of higher education and hospitals),Profit organization</t>
        </is>
      </c>
      <c r="J86" s="16" t="n">
        <v>0</v>
      </c>
      <c r="K86" s="16" t="n">
        <v>334880204.6</v>
      </c>
      <c r="L86" s="16" t="n">
        <v>429625956</v>
      </c>
      <c r="M86" s="11" t="inlineStr">
        <is>
          <t>[{"x":"2023","sam_estimate":0.0,"sam_actual":468216956.0,"usa_spending_actual":429625956.0},{"x":"2024","sam_estimate":0.0,"sam_actual":327500000.0,"usa_spending_actual":334880204.6},{"x":"2025","sam_estimate":0.0,"sam_actual":130000000.0,"usa_spending_actual":0.0}]</t>
        </is>
      </c>
    </row>
    <row r="87" ht="147" customHeight="1">
      <c r="A87" s="11" t="inlineStr">
        <is>
          <t>14.892</t>
        </is>
      </c>
      <c r="B87" s="11" t="inlineStr">
        <is>
          <t xml:space="preserve">Choice Neighborhoods Planning Grants </t>
        </is>
      </c>
      <c r="C87" s="11" t="n"/>
      <c r="D87" s="11" t="inlineStr">
        <is>
          <t>Department of Housing and Urban Development</t>
        </is>
      </c>
      <c r="E87" s="11" t="inlineStr">
        <is>
          <t>Assistant Secretary for Public and Indian Housing</t>
        </is>
      </c>
      <c r="F87" s="11" t="inlineStr">
        <is>
          <t>Choice Neighborhoods Planning Grants support the development of comprehensive neighborhood Transformation Plans which are centered on the revitalization of a severely distressed public housing or HUD-assisted housing project. The Transformation Plan should integrate effective strategies for redevelopment of the targeted public and/or assisted housing project;  the provision  of supportive services for housing residents which address employment, health and educational opportunities; and initiatives which improve the range of neighborhood assets and promote economic development. The Transformation Plan should be created as part of a collaborative planning process that involves neighborhood stakeholders, local governmental entities and residents, and builds the necessary support to successfully implement the plan.</t>
        </is>
      </c>
      <c r="G87" s="11" t="inlineStr">
        <is>
          <t>Project Grants</t>
        </is>
      </c>
      <c r="H87" s="11" t="inlineStr">
        <is>
          <t>Anyone/general public,Individual/Family,Local,Other private institution/organization,Other public institution/organization,Private nonprofit institution/organization,Profit organization,Public nonprofit institution/organization,Small Business Person,U.S. Citizen</t>
        </is>
      </c>
      <c r="I87" s="11" t="inlineStr">
        <is>
          <t>Other public institution/organization,Private nonprofit institution/organization (includes institutions of higher education and hospitals),Profit organization,Public nonprofit institution/organization (includes institutions of higher education and hospitals),State</t>
        </is>
      </c>
      <c r="J87" s="16" t="n">
        <v>0</v>
      </c>
      <c r="K87" s="16" t="n">
        <v>1000000</v>
      </c>
      <c r="L87" s="16" t="n">
        <v>0</v>
      </c>
      <c r="M87" s="11" t="inlineStr">
        <is>
          <t>[{"x":"2023","sam_estimate":0.0,"sam_actual":7000000.0,"usa_spending_actual":0.0},{"x":"2024","sam_estimate":0.0,"sam_actual":6500000.0,"usa_spending_actual":1000000.0},{"x":"2025","sam_estimate":0.0,"sam_actual":10000000.0,"usa_spending_actual":0.0}]</t>
        </is>
      </c>
    </row>
    <row r="88" ht="247.5" customHeight="1">
      <c r="A88" s="11" t="inlineStr">
        <is>
          <t>14.893</t>
        </is>
      </c>
      <c r="B88" s="11" t="inlineStr">
        <is>
          <t>Office of Native American Programs Training and Technical Assistance for Indian Housing Block Grant Program</t>
        </is>
      </c>
      <c r="C88" s="11" t="n"/>
      <c r="D88" s="11" t="inlineStr">
        <is>
          <t>Department of Housing and Urban Development</t>
        </is>
      </c>
      <c r="E88" s="11" t="inlineStr">
        <is>
          <t>Assistant Secretary for Public and Indian Housing</t>
        </is>
      </c>
      <c r="F88" s="11" t="inlineStr">
        <is>
          <t>To provide technical assistance for Indian tribes, Alaska Native villages, and Tribally Designated Housing Entities (TDHEs) in the development of viable communities.</t>
        </is>
      </c>
      <c r="G88" s="11" t="inlineStr">
        <is>
          <t>Training</t>
        </is>
      </c>
      <c r="H88" s="11" t="inlineStr">
        <is>
          <t>American Indian,Federally Recognized Indian Tribal Governments,Native American Organizations</t>
        </is>
      </c>
      <c r="I88" s="11" t="inlineStr">
        <is>
          <t>Federally Recognized lndian Tribal Governments,Minority group,Native American Organizations (includes lndian groups, cooperatives, corporations, partnerships, associations),Other private institutions/organizations,Other public institution/organization,Private nonprofit institution/organization (includes institutions of higher education and hospitals),Profit organization,Public nonprofit institution/organization (includes institutions of higher education and hospitals),Quasi-public nonprofit institution/organization,Small business (less than 500 employees)</t>
        </is>
      </c>
      <c r="J88" s="16" t="n">
        <v>0</v>
      </c>
      <c r="K88" s="16" t="n">
        <v>0</v>
      </c>
      <c r="L88" s="16" t="n">
        <v>0</v>
      </c>
      <c r="M88" s="11" t="inlineStr">
        <is>
          <t>[{"x":"2023","sam_estimate":0.0,"sam_actual":20264143.0,"usa_spending_actual":0.0},{"x":"2024","sam_estimate":0.0,"sam_actual":0.0,"usa_spending_actual":0.0},{"x":"2025","sam_estimate":0.0,"sam_actual":14000000.0,"usa_spending_actual":0.0}]</t>
        </is>
      </c>
    </row>
    <row r="89" ht="168.75" customHeight="1">
      <c r="A89" s="11" t="inlineStr">
        <is>
          <t>14.895</t>
        </is>
      </c>
      <c r="B89" s="11" t="inlineStr">
        <is>
          <t>Jobs-Plus Pilot Initiative</t>
        </is>
      </c>
      <c r="C89" s="11" t="inlineStr">
        <is>
          <t>Jobs-Plus Iniative</t>
        </is>
      </c>
      <c r="D89" s="11" t="inlineStr">
        <is>
          <t>Department of Housing and Urban Development</t>
        </is>
      </c>
      <c r="E89" s="11" t="inlineStr">
        <is>
          <t>Assistant Secretary for Public and Indian Housing</t>
        </is>
      </c>
      <c r="F89" s="11" t="inlineStr">
        <is>
          <t>The Jobs Plus program develops locally based, job-driven approaches that increase earnings and advance employment outcomes through work readiness, employer linkages, job placement, educational advancement, technology skills, and financial literacy for residents of public housing. The place-based Jobs Plus program addresses poverty among public housing residents by incentivizing and enabling employment through earned income disregards for working residents and a set of services designed to support work including employer linkages, job placement and counseling, educational advancement, and financial counseling. Ideally, these incentives will saturate the target public housing development, building a culture of work and making working residents the norm. The Jobs Plus program model comprises these three core components: Employment-Related Services; Financial/Rent Incentive – Jobs Plus Earned Income Disregard (JPEID); and Community Supports for Work.</t>
        </is>
      </c>
      <c r="G89" s="11" t="inlineStr">
        <is>
          <t>Project Grants</t>
        </is>
      </c>
      <c r="H89" s="11" t="inlineStr">
        <is>
          <t>Local,Low Income,State,U.S. Citizen,Unemployed</t>
        </is>
      </c>
      <c r="I89" s="11" t="inlineStr">
        <is>
          <t>Government - General,State</t>
        </is>
      </c>
      <c r="J89" s="16" t="n">
        <v>0</v>
      </c>
      <c r="K89" s="16" t="n">
        <v>69718825.79000001</v>
      </c>
      <c r="L89" s="16" t="n">
        <v>39690074.99</v>
      </c>
      <c r="M89" s="11" t="inlineStr">
        <is>
          <t>[{"x":"2023","sam_estimate":0.0,"sam_actual":9199059.0,"usa_spending_actual":39690074.99},{"x":"2024","sam_estimate":0.0,"sam_actual":30934403.0,"usa_spending_actual":69718825.79},{"x":"2025","sam_estimate":0.0,"sam_actual":15000000.0,"usa_spending_actual":0.0}]</t>
        </is>
      </c>
    </row>
    <row r="90" ht="113.25" customHeight="1">
      <c r="A90" s="11" t="inlineStr">
        <is>
          <t>14.896</t>
        </is>
      </c>
      <c r="B90" s="11" t="inlineStr">
        <is>
          <t>Family Self-Sufficiency Program</t>
        </is>
      </c>
      <c r="C90" s="11" t="inlineStr">
        <is>
          <t>(FSS)</t>
        </is>
      </c>
      <c r="D90" s="11" t="inlineStr">
        <is>
          <t>Department of Housing and Urban Development</t>
        </is>
      </c>
      <c r="E90" s="11" t="inlineStr">
        <is>
          <t>Assistant Secretary for Public and Indian Housing</t>
        </is>
      </c>
      <c r="F90" s="11" t="inlineStr">
        <is>
          <t>To promote the development of local strategies to coordinate the use of assistance under the Housing Choice Voucher, Public Housing and Project-Based Rental Assistance programs with public and private resources to enable participating families to increase earned income and financial literacy, reduce or eliminate the need for welfare assistance, and make progress toward economic independence and self-sufficiency. Public Housing FSS and HCV FSS were separate programs for many years. They were combined into one FSS program in FY14. PBRA became eligible to be funded with the implementation of the FSS Final Rule in May 2022.</t>
        </is>
      </c>
      <c r="G90" s="11" t="inlineStr">
        <is>
          <t>Project Grants</t>
        </is>
      </c>
      <c r="H90" s="11" t="inlineStr">
        <is>
          <t>Individual/Family,Low Income</t>
        </is>
      </c>
      <c r="I90" s="11" t="inlineStr">
        <is>
          <t>Government - General,Profit organization,Public nonprofit institution/organization (includes institutions of higher education and hospitals),State</t>
        </is>
      </c>
      <c r="J90" s="16" t="n">
        <v>0</v>
      </c>
      <c r="K90" s="16" t="n">
        <v>121682530.39</v>
      </c>
      <c r="L90" s="16" t="n">
        <v>111686771.58</v>
      </c>
      <c r="M90" s="11" t="inlineStr">
        <is>
          <t>[{"x":"2023","sam_estimate":0.0,"sam_actual":114992550.0,"usa_spending_actual":111686771.58},{"x":"2024","sam_estimate":0.0,"sam_actual":132673160.0,"usa_spending_actual":121682530.39},{"x":"2025","sam_estimate":0.0,"sam_actual":125000000.0,"usa_spending_actual":-3391263.95}]</t>
        </is>
      </c>
    </row>
    <row r="91" ht="124.5" customHeight="1">
      <c r="A91" s="11" t="inlineStr">
        <is>
          <t>14.899</t>
        </is>
      </c>
      <c r="B91" s="11" t="inlineStr">
        <is>
          <t>Tribal HUD-VA Supportive Housing Program</t>
        </is>
      </c>
      <c r="C91" s="11" t="inlineStr">
        <is>
          <t>Tribal HUD-VASH</t>
        </is>
      </c>
      <c r="D91" s="11" t="inlineStr">
        <is>
          <t>Department of Housing and Urban Development</t>
        </is>
      </c>
      <c r="E91" s="11" t="inlineStr">
        <is>
          <t>Assistant Secretary for Public and Indian Housing</t>
        </is>
      </c>
      <c r="F91" s="11" t="inlineStr">
        <is>
          <t>The Tribal HUD-VASH program combines rental assistance from the Department of Housing and Urban Development (HUD) with supportive services provided by the Department of Veterans Affairs to Native American Veterans who are homeless or at risk of homelessness.</t>
        </is>
      </c>
      <c r="G91" s="11" t="inlineStr">
        <is>
          <t>Project Grants</t>
        </is>
      </c>
      <c r="H91" s="11" t="inlineStr">
        <is>
          <t>American Indian,Federally Recognized Indian Tribal Governments,Individual/Family,Low Income,Minority group,Native American Organizations,Specialized group (e.g. health professionals, students, veterans),Unemployed,Veteran/Service person/Reservist (including dependents</t>
        </is>
      </c>
      <c r="I91" s="11" t="inlineStr">
        <is>
          <t>Government - General</t>
        </is>
      </c>
      <c r="J91" s="16" t="n">
        <v>0</v>
      </c>
      <c r="K91" s="16" t="n">
        <v>0</v>
      </c>
      <c r="L91" s="16" t="n">
        <v>0</v>
      </c>
      <c r="M91" s="11" t="inlineStr">
        <is>
          <t>[{"x":"2023","sam_estimate":0.0,"sam_actual":10260580.0,"usa_spending_actual":0.0},{"x":"2024","sam_estimate":0.0,"sam_actual":9987212.0,"usa_spending_actual":0.0},{"x":"2025","sam_estimate":0.0,"sam_actual":5000000.0,"usa_spending_actual":0.0}]</t>
        </is>
      </c>
    </row>
    <row r="92" ht="281.25" customHeight="1">
      <c r="A92" s="11" t="inlineStr">
        <is>
          <t>14.900</t>
        </is>
      </c>
      <c r="B92" s="11" t="inlineStr">
        <is>
          <t>Lead Hazard Reduction Grant Program</t>
        </is>
      </c>
      <c r="C92" s="11" t="inlineStr">
        <is>
          <t>Lead Hazard Reduction Grant Program</t>
        </is>
      </c>
      <c r="D92" s="11" t="inlineStr">
        <is>
          <t>Department of Housing and Urban Development</t>
        </is>
      </c>
      <c r="E92" s="11" t="inlineStr">
        <is>
          <t>Office of Lead Hazard Control and Healthy Homes</t>
        </is>
      </c>
      <c r="F92" s="11" t="inlineStr">
        <is>
          <t>Lead-Based Paint Hazard Control grants assist State, Tribal, and local governments to identify and control lead-based paint hazards in privately-owned housing that is owned by or rented to low- or very-low income families.  Specific objectives include:  (1) Maximize the combination of children less than six years of age protected from lead poisoning and housing units where lead-hazards are controlled; (2) Prevent childhood lead poisoning; (3) Stimulate lower-cost and cost-effective methods and approaches to lead hazard control work that can be replicated; (4) Build local capacity to safely and effectively address lead hazards during lead hazard control, renovation, remodeling, and maintenance activities by integrating lead safe work practices into housing maintenance, repair, weatherization, rehabilitation and other programs that will continue beyond the grant period; (5) Affirmatively further fair housing and environmental justice (6) Develop a comprehensive community approach to address lead hazards in housing by mobilizing public and private resources, involving cooperation among all levels of government, the private sector, and grassroots community-based nonprofit organizations, including faith-based organizations, to develop cost-effective methods for identifying and controlling lead-based paint hazards (7) Establish a public registry of lead-safe housing; and (8)To the greatest extent feasible, promote job training, employment, and other economic opportunities for low-income and minority residents and businesses that are owned by and/or employ minorities and low-income persons as defined in 24 CFR section 75.5.</t>
        </is>
      </c>
      <c r="G92" s="11" t="inlineStr">
        <is>
          <t>Project Grants</t>
        </is>
      </c>
      <c r="H92" s="11" t="inlineStr">
        <is>
          <t>Anyone/general public,Federal,Individual/Family,Local,State</t>
        </is>
      </c>
      <c r="I92" s="11" t="inlineStr">
        <is>
          <t>Federally Recognized lndian Tribal Governments,Local (includes State-designated lndian Tribes, excludes institutions of higher education and hospitals,State (includes District of Columbia, public institutions of higher education and hospitals)</t>
        </is>
      </c>
      <c r="J92" s="16" t="n">
        <v>0</v>
      </c>
      <c r="K92" s="16" t="n">
        <v>176738888.22</v>
      </c>
      <c r="L92" s="16" t="n">
        <v>185800027.99</v>
      </c>
      <c r="M92" s="11" t="inlineStr">
        <is>
          <t>[{"x":"2023","sam_estimate":0.0,"sam_actual":20767732.0,"usa_spending_actual":185800027.99},{"x":"2024","sam_estimate":0.0,"sam_actual":204999998.0,"usa_spending_actual":176738888.22},{"x":"2025","sam_estimate":0.0,"sam_actual":0.0,"usa_spending_actual":5467900.78}]</t>
        </is>
      </c>
    </row>
    <row r="93" ht="180" customHeight="1">
      <c r="A93" s="11" t="inlineStr">
        <is>
          <t>14.901</t>
        </is>
      </c>
      <c r="B93" s="11" t="inlineStr">
        <is>
          <t>Healthy Homes Weatherization Cooperation Demonstration Grants</t>
        </is>
      </c>
      <c r="C93" s="11" t="inlineStr">
        <is>
          <t>Healthy Homes and Weatherization Cooperation Demonstration Grants, Radon Testing and Mitigation Demonstration in Public Housing Grants</t>
        </is>
      </c>
      <c r="D93" s="11" t="inlineStr">
        <is>
          <t>Department of Housing and Urban Development</t>
        </is>
      </c>
      <c r="E93" s="11" t="inlineStr">
        <is>
          <t>Office of Lead Hazard Control and Healthy Homes</t>
        </is>
      </c>
      <c r="F93" s="11" t="inlineStr">
        <is>
          <t>HUD, through this Healthy Homes and Weatherization Cooperation Demonstration (HHWCD) NOFO, is interested in supporting demonstrations in up to 5 communities that provide housing interventions in lower-income households that are conducted jointly through the coordination of HUD’s Office of Lead Hazard Control and Healthy Homes (OLHCHH)-funded
 Healthy Homes Production (HHP) program and programs funded by the U.S. Department of Energy's (DOE) Weatherization Assistance Program (WAP).  A critical goal of this demonstration is to determine whether this coordinated delivery of services achieves cost-effectiveness and better outcomes in improving the safety and quality of homes, including health and energy efficiency.  The coordinated assessments and interventions are expected to provide additional benefits to households through the combined mitigation of health and safety hazards and improvements in energy efficiency and comfort.  These grants are intended to facilitate the leveraging of ass</t>
        </is>
      </c>
      <c r="G93" s="11" t="inlineStr">
        <is>
          <t>Project Grants</t>
        </is>
      </c>
      <c r="H93" s="11" t="inlineStr">
        <is>
          <t>Anyone/general public,Federally Recognized Indian Tribal Governments,Homeowner,Land/Property Owner,Local,Minority group,Public nonprofit institution/organization,State,U.S. Territories</t>
        </is>
      </c>
      <c r="I93" s="11" t="inlineStr">
        <is>
          <t>Federally Recognized lndian Tribal Governments,Government - General,Non-Government - General,State,U.S. Territories and possessions</t>
        </is>
      </c>
      <c r="J93" s="16" t="n">
        <v>0</v>
      </c>
      <c r="K93" s="16" t="n">
        <v>6187462.16</v>
      </c>
      <c r="L93" s="16" t="n">
        <v>4953526</v>
      </c>
      <c r="M93" s="11" t="inlineStr">
        <is>
          <t>[{"x":"2023","sam_estimate":0.0,"sam_actual":5953526.0,"usa_spending_actual":4953526.0},{"x":"2024","sam_estimate":0.0,"sam_actual":7000000.0,"usa_spending_actual":6187462.16},{"x":"2025","sam_estimate":0.0,"sam_actual":0.0,"usa_spending_actual":0.0}]</t>
        </is>
      </c>
    </row>
    <row r="94" ht="135.75" customHeight="1">
      <c r="A94" s="11" t="inlineStr">
        <is>
          <t>14.902</t>
        </is>
      </c>
      <c r="B94" s="11" t="inlineStr">
        <is>
          <t>Lead Technical Studies Grants</t>
        </is>
      </c>
      <c r="C94" s="11" t="inlineStr">
        <is>
          <t>Lead Technical Studies Grants</t>
        </is>
      </c>
      <c r="D94" s="11" t="inlineStr">
        <is>
          <t>Department of Housing and Urban Development</t>
        </is>
      </c>
      <c r="E94" s="11" t="inlineStr">
        <is>
          <t>Office of Lead Hazard Control and Healthy Homes</t>
        </is>
      </c>
      <c r="F94" s="11" t="inlineStr">
        <is>
          <t>To fund technical studies to improve methods for detecting and controlling lead-based paint hazards in housing. The purpose of the Lead Technical Studies program is to improve our knowledge of lead-based paint related health hazards, and to improve or develop new hazard assessment and control methods.</t>
        </is>
      </c>
      <c r="G94" s="11" t="inlineStr">
        <is>
          <t>Project Grants</t>
        </is>
      </c>
      <c r="H94" s="11" t="inlineStr">
        <is>
          <t>Homeowner,Land/Property Owner</t>
        </is>
      </c>
      <c r="I94" s="11" t="inlineStr">
        <is>
          <t>Federally Recognized lndian Tribal Governments,Local (includes State-designated lndian Tribes, excludes institutions of higher education and hospitals,Public nonprofit institution/organization (includes institutions of higher education and hospitals),State (includes District of Columbia, public institutions of higher education and hospitals)</t>
        </is>
      </c>
      <c r="J94" s="16" t="n">
        <v>0</v>
      </c>
      <c r="K94" s="16" t="n">
        <v>5553572.87</v>
      </c>
      <c r="L94" s="16" t="n">
        <v>-12171.74</v>
      </c>
      <c r="M94" s="11" t="inlineStr">
        <is>
          <t>[{"x":"2023","sam_estimate":0.0,"sam_actual":2000000.0,"usa_spending_actual":-12171.74},{"x":"2024","sam_estimate":0.0,"sam_actual":1500000.0,"usa_spending_actual":5553572.87},{"x":"2025","sam_estimate":0.0,"sam_actual":0.0,"usa_spending_actual":0.0}]</t>
        </is>
      </c>
    </row>
    <row r="95" ht="303" customHeight="1">
      <c r="A95" s="11" t="inlineStr">
        <is>
          <t>14.905</t>
        </is>
      </c>
      <c r="B95" s="11" t="inlineStr">
        <is>
          <t>Lead Hazard Reduction Demonstration Grant Program</t>
        </is>
      </c>
      <c r="C95" s="11" t="inlineStr">
        <is>
          <t>Lead Hazard Reduction Demonstration Grant Program</t>
        </is>
      </c>
      <c r="D95" s="11" t="inlineStr">
        <is>
          <t>Department of Housing and Urban Development</t>
        </is>
      </c>
      <c r="E95" s="11" t="inlineStr">
        <is>
          <t>Office of Lead Hazard Control and Healthy Homes</t>
        </is>
      </c>
      <c r="F95" s="11" t="inlineStr">
        <is>
          <t>Lead Hazard Reduction Demonstration Grant assist State, Tribal, and local governments to identify and control lead-based paint hazards in privately-owned housing that is owned by or rented to low- or very-low income families. Specific objectives include: (1) Maximize the combination of children less than six years of age protected from lead poisoning and housing units where lead-hazards are controlled; (2) preventing childhood lead poisoning; (3) Stimulate lower-cost and cost-effective methods and approaches to lead hazard control work that can be replicated; (4)Build local capacity to safely and effectively address lead hazards during lead hazard control, renovation, remodeling, and maintenance activities by integrating lead safe work practices into housing maintenance, repair, weatherization, rehabilitation and other programs that will continue beyond the grant period; (5) Affirmatively further fair housing and environmental justice (6) Develop a comprehensive community approach to address lead hazards in housing by mobilizing public and private resources, involving cooperation among all levels of government, the private sector, and grassroots community-based nonprofit organizations, including faith-based organizations, to develop cost-effective methods for identifying and controlling lead-based paint hazards (7) establishing a public registry of lead-safe housing; and (8) To the greatest extent feasible, promote job training, employment, and other economic opportunities for low-income and minority residents and businesses that are owned by and/or employ minorities and low-income persons as defined in 24 CFR 75.5 . In addition to the requirements above, you must have at least 3,500 pre-1940 occupied rental housing units (either alone or through a consortium).</t>
        </is>
      </c>
      <c r="G95" s="11" t="inlineStr">
        <is>
          <t>Project Grants</t>
        </is>
      </c>
      <c r="H95" s="11" t="inlineStr">
        <is>
          <t>Anyone/general public,Federal,Individual/Family,Local,State</t>
        </is>
      </c>
      <c r="I95" s="11" t="inlineStr">
        <is>
          <t>Federally Recognized lndian Tribal Governments,Local (includes State-designated lndian Tribes, excludes institutions of higher education and hospitals,State (includes District of Columbia, public institutions of higher education and hospitals)</t>
        </is>
      </c>
      <c r="J95" s="16" t="n">
        <v>0</v>
      </c>
      <c r="K95" s="16" t="n">
        <v>287248721.08</v>
      </c>
      <c r="L95" s="16" t="n">
        <v>-13764556.86</v>
      </c>
      <c r="M95" s="11" t="inlineStr">
        <is>
          <t>[{"x":"2023","sam_estimate":0.0,"sam_actual":102369748.0,"usa_spending_actual":-13764556.86},{"x":"2024","sam_estimate":0.0,"sam_actual":129000000.0,"usa_spending_actual":287248721.08},{"x":"2025","sam_estimate":0.0,"sam_actual":0.0,"usa_spending_actual":-1433539.35}]</t>
        </is>
      </c>
    </row>
    <row r="96" ht="157.5" customHeight="1">
      <c r="A96" s="11" t="inlineStr">
        <is>
          <t>14.906</t>
        </is>
      </c>
      <c r="B96" s="11" t="inlineStr">
        <is>
          <t>Healthy Homes Technical Studies Grants</t>
        </is>
      </c>
      <c r="C96" s="11" t="inlineStr">
        <is>
          <t>Healthy Homes Technical Studies Grants</t>
        </is>
      </c>
      <c r="D96" s="11" t="inlineStr">
        <is>
          <t>Department of Housing and Urban Development</t>
        </is>
      </c>
      <c r="E96" s="11" t="inlineStr">
        <is>
          <t>Office of Lead Hazard Control and Healthy Homes</t>
        </is>
      </c>
      <c r="F96" s="11" t="inlineStr">
        <is>
          <t>To fund technical studies to improve methods for detecting and controlling housing-related health and safety hazards. The purpose of the Healthy Homes Technical Studies program is to improve our knowledge of housing-related health hazards, and to improve or develop new hazard assessment and control methods.</t>
        </is>
      </c>
      <c r="G96" s="11" t="inlineStr">
        <is>
          <t>Project Grants</t>
        </is>
      </c>
      <c r="H96" s="11" t="inlineStr">
        <is>
          <t>Federal,Local,Other public institution/organization,Profit organization,Public nonprofit institution/organization,State</t>
        </is>
      </c>
      <c r="I96" s="11" t="inlineStr">
        <is>
          <t>Federally Recognized lndian Tribal Governments,Local (includes State-designated lndian Tribes, excludes institutions of higher education and hospitals,Other public institution/organization,Public nonprofit institution/organization (includes institutions of higher education and hospitals),State (includes District of Columbia, public institutions of higher education and hospitals)</t>
        </is>
      </c>
      <c r="J96" s="16" t="n">
        <v>0</v>
      </c>
      <c r="K96" s="16" t="n">
        <v>0</v>
      </c>
      <c r="L96" s="16" t="n">
        <v>0</v>
      </c>
      <c r="M96" s="11" t="inlineStr">
        <is>
          <t>[{"x":"2023","sam_estimate":0.0,"sam_actual":5000000.0,"usa_spending_actual":0.0},{"x":"2024","sam_estimate":0.0,"sam_actual":5000000.0,"usa_spending_actual":0.0},{"x":"2025","sam_estimate":0.0,"sam_actual":0.0,"usa_spending_actual":0.0}]</t>
        </is>
      </c>
    </row>
    <row r="97" ht="102" customHeight="1">
      <c r="A97" s="11" t="inlineStr">
        <is>
          <t>14.912</t>
        </is>
      </c>
      <c r="B97" s="11" t="inlineStr">
        <is>
          <t>Lead Hazard Control Capacity Building</t>
        </is>
      </c>
      <c r="C97" s="11" t="inlineStr">
        <is>
          <t>Lead Hazard Control Capacity Building</t>
        </is>
      </c>
      <c r="D97" s="11" t="inlineStr">
        <is>
          <t>Department of Housing and Urban Development</t>
        </is>
      </c>
      <c r="E97" s="11" t="inlineStr">
        <is>
          <t>Office of Lead Hazard Control and Healthy Homes</t>
        </is>
      </c>
      <c r="F97" s="11" t="inlineStr">
        <is>
          <t>The purpose of the Lead Hazard Reduction Capacity Building Grant Program is to assist states, Federally-recognized Native American Tribes, cities, counties/parishes, or other units of local government which have not received a HUD lead hazard control grant or been a sub-recipient of such a grant in developing the infrastructure necessary to undertake comprehensive programs to identify and control lead-based paint hazards in eligible privately owned rental or owner-occupied housing.</t>
        </is>
      </c>
      <c r="G97" s="11" t="inlineStr">
        <is>
          <t>Project Grants</t>
        </is>
      </c>
      <c r="H97" s="11" t="inlineStr">
        <is>
          <t>Federal,Local,State</t>
        </is>
      </c>
      <c r="I97" s="11" t="inlineStr">
        <is>
          <t>Federally Recognized lndian Tribal Governments,Local (includes State-designated lndian Tribes, excludes institutions of higher education and hospitals,State (includes District of Columbia, public institutions of higher education and hospitals)</t>
        </is>
      </c>
      <c r="J97" s="16" t="n">
        <v>0</v>
      </c>
      <c r="K97" s="16" t="n">
        <v>0</v>
      </c>
      <c r="L97" s="16" t="n">
        <v>0</v>
      </c>
      <c r="M97" s="11" t="inlineStr">
        <is>
          <t>[{"x":"2023","sam_estimate":0.0,"sam_actual":16363920.0,"usa_spending_actual":0.0},{"x":"2024","sam_estimate":0.0,"sam_actual":10000000.0,"usa_spending_actual":0.0},{"x":"2025","sam_estimate":0.0,"sam_actual":0.0,"usa_spending_actual":0.0}]</t>
        </is>
      </c>
    </row>
    <row r="98" ht="191.25" customHeight="1">
      <c r="A98" s="11" t="inlineStr">
        <is>
          <t>14.913</t>
        </is>
      </c>
      <c r="B98" s="11" t="inlineStr">
        <is>
          <t>Healthy Homes Production Program</t>
        </is>
      </c>
      <c r="C98" s="11" t="inlineStr">
        <is>
          <t>Healthy Homes Production Grant Program</t>
        </is>
      </c>
      <c r="D98" s="11" t="inlineStr">
        <is>
          <t>Department of Housing and Urban Development</t>
        </is>
      </c>
      <c r="E98" s="11" t="inlineStr">
        <is>
          <t>Office of Lead Hazard Control and Healthy Homes</t>
        </is>
      </c>
      <c r="F98" s="11" t="inlineStr">
        <is>
          <t>The purpose of the Healthy Homes Production Program is to comprehensively address multiple residential health and safety hazards, including mold, carbon monoxide, home safety hazards, pesticides and allergens (from pets and pests).</t>
        </is>
      </c>
      <c r="G98" s="11" t="inlineStr">
        <is>
          <t>Project Grants</t>
        </is>
      </c>
      <c r="H98" s="11" t="inlineStr">
        <is>
          <t>Homeowner,Low Income</t>
        </is>
      </c>
      <c r="I98" s="11" t="inlineStr">
        <is>
          <t>Federally Recognized lndian Tribal Governments,Local (includes State-designated lndian Tribes, excludes institutions of higher education and hospitals,Private nonprofit institution/organization (includes institutions of higher education and hospitals),Profit organization,Public nonprofit institution/organization (includes institutions of higher education and hospitals),State,State (includes District of Columbia, public institutions of higher education and hospitals)</t>
        </is>
      </c>
      <c r="J98" s="16" t="n">
        <v>0</v>
      </c>
      <c r="K98" s="16" t="n">
        <v>0</v>
      </c>
      <c r="L98" s="16" t="n">
        <v>0</v>
      </c>
      <c r="M98" s="11" t="inlineStr">
        <is>
          <t>[{"x":"2023","sam_estimate":0.0,"sam_actual":17000000.0,"usa_spending_actual":0.0},{"x":"2024","sam_estimate":0.0,"sam_actual":45000000.0,"usa_spending_actual":0.0},{"x":"2025","sam_estimate":0.0,"sam_actual":0.0,"usa_spending_actual":0.0}]</t>
        </is>
      </c>
    </row>
    <row r="99" ht="202.5" customHeight="1">
      <c r="A99" s="11" t="inlineStr">
        <is>
          <t>14.914</t>
        </is>
      </c>
      <c r="B99" s="11" t="inlineStr">
        <is>
          <t>Radon Interventions in Public and Assisted Multifamily Housing</t>
        </is>
      </c>
      <c r="C99" s="11" t="n"/>
      <c r="D99" s="11" t="inlineStr">
        <is>
          <t>Department of Housing and Urban Development</t>
        </is>
      </c>
      <c r="E99" s="11" t="inlineStr">
        <is>
          <t>Office of Lead Hazard Control and Healthy Homes</t>
        </is>
      </c>
      <c r="F99" s="11" t="inlineStr">
        <is>
          <t>None.  The program is defunct</t>
        </is>
      </c>
      <c r="G99" s="11" t="inlineStr">
        <is>
          <t>Project Grants</t>
        </is>
      </c>
      <c r="H99" s="11" t="inlineStr">
        <is>
          <t>Low Income</t>
        </is>
      </c>
      <c r="I99" s="11" t="inlineStr">
        <is>
          <t>Federally Recognized lndian Tribal Governments,Local (includes State-designated lndian Tribes, excludes institutions of higher education and hospitals,Other public institution/organization,Private nonprofit institution/organization (includes institutions of higher education and hospitals),Profit organization,Public nonprofit institution/organization (includes institutions of higher education and hospitals),State (includes District of Columbia, public institutions of higher education and hospitals)</t>
        </is>
      </c>
      <c r="J99" s="16" t="n">
        <v>0</v>
      </c>
      <c r="K99" s="16" t="n">
        <v>0</v>
      </c>
      <c r="L99" s="16" t="n">
        <v>0</v>
      </c>
      <c r="M99" s="11" t="inlineStr">
        <is>
          <t>[{"x":"2023","sam_estimate":0.0,"sam_actual":0.0,"usa_spending_actual":0.0},{"x":"2024","sam_estimate":0.0,"sam_actual":0.0,"usa_spending_actual":0.0},{"x":"2025","sam_estimate":0.0,"sam_actual":0.0,"usa_spending_actual":0.0}]</t>
        </is>
      </c>
    </row>
    <row r="100" ht="79.5" customHeight="1">
      <c r="A100" s="11" t="inlineStr">
        <is>
          <t>14.920</t>
        </is>
      </c>
      <c r="B100" s="11" t="inlineStr">
        <is>
          <t>Lead Hazard Control for High Risk Areas</t>
        </is>
      </c>
      <c r="C100" s="11" t="inlineStr">
        <is>
          <t>Lead Risk Assessment Demonstration</t>
        </is>
      </c>
      <c r="D100" s="11" t="inlineStr">
        <is>
          <t>Department of Housing and Urban Development</t>
        </is>
      </c>
      <c r="E100" s="11" t="inlineStr">
        <is>
          <t>Office of Lead Hazard Control and Healthy Homes</t>
        </is>
      </c>
      <c r="F100" s="11" t="inlineStr">
        <is>
          <t>This funding will be made available to public housing agencies that operate the housing choice voucher program to conduct lead hazard screenings or lead-risk assessments during housing quality standards inspections of pre-1978 units in which a family with a voucher resides or expects to reside, and has or expects to have a child under age 6 residing in the unit, to demonstrate whether such a process preserves rental housing availability and affordability.</t>
        </is>
      </c>
      <c r="G100" s="11" t="inlineStr">
        <is>
          <t>Project Grants</t>
        </is>
      </c>
      <c r="H100" s="11" t="inlineStr">
        <is>
          <t>Low Income</t>
        </is>
      </c>
      <c r="I100" s="11" t="inlineStr">
        <is>
          <t>Local (includes State-designated lndian Tribes, excludes institutions of higher education and hospitals,State</t>
        </is>
      </c>
      <c r="J100" s="16" t="n">
        <v>0</v>
      </c>
      <c r="K100" s="16" t="n">
        <v>0</v>
      </c>
      <c r="L100" s="16" t="n">
        <v>600000</v>
      </c>
      <c r="M100" s="11" t="inlineStr">
        <is>
          <t>[{"x":"2023","sam_estimate":0.0,"sam_actual":600000.0,"usa_spending_actual":600000.0},{"x":"2024","sam_estimate":0.0,"sam_actual":0.0,"usa_spending_actual":0.0},{"x":"2025","sam_estimate":0.0,"sam_actual":0.0,"usa_spending_actual":0.0}]</t>
        </is>
      </c>
    </row>
    <row r="101" ht="180" customHeight="1">
      <c r="A101" s="11" t="inlineStr">
        <is>
          <t>14.921</t>
        </is>
      </c>
      <c r="B101" s="11" t="inlineStr">
        <is>
          <t>Older Adults Home Modification Grant Program</t>
        </is>
      </c>
      <c r="C101" s="11" t="n"/>
      <c r="D101" s="11" t="inlineStr">
        <is>
          <t>Department of Housing and Urban Development</t>
        </is>
      </c>
      <c r="E101" s="11" t="inlineStr">
        <is>
          <t>Office of Lead Hazard Control and Healthy Homes</t>
        </is>
      </c>
      <c r="F101" s="11" t="inlineStr">
        <is>
          <t>The purpose of the Older Adults Home Modification Grant Program is to enhance local capacity to sustainably operate low-barrier, participant-led programs that address the home modification needs of low-income older persons and their caregivers.</t>
        </is>
      </c>
      <c r="G101" s="11" t="inlineStr">
        <is>
          <t>Project Grants</t>
        </is>
      </c>
      <c r="H101" s="11" t="inlineStr">
        <is>
          <t>Individual/Family,Low Income,Rural</t>
        </is>
      </c>
      <c r="I101" s="11" t="inlineStr">
        <is>
          <t>Government - General,Local (includes State-designated lndian Tribes, excludes institutions of higher education and hospitals,Private nonprofit institution/organization (includes institutions of higher education and hospitals),Public nonprofit institution/organization (includes institutions of higher education and hospitals),State,State (includes District of Columbia, public institutions of higher education and hospitals)</t>
        </is>
      </c>
      <c r="J101" s="16" t="n">
        <v>0</v>
      </c>
      <c r="K101" s="16" t="n">
        <v>10000000</v>
      </c>
      <c r="L101" s="16" t="n">
        <v>0</v>
      </c>
      <c r="M101" s="11" t="inlineStr">
        <is>
          <t>[{"x":"2023","sam_estimate":0.0,"sam_actual":30000000.0,"usa_spending_actual":0.0},{"x":"2024","sam_estimate":0.0,"sam_actual":30000000.0,"usa_spending_actual":10000000.0},{"x":"2025","sam_estimate":0.0,"sam_actual":0.0,"usa_spending_actual":0.0}]</t>
        </is>
      </c>
    </row>
  </sheetData>
  <autoFilter ref="A1:M101"/>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AD145"/>
  <sheetViews>
    <sheetView tabSelected="0" zoomScaleNormal="100" workbookViewId="0">
      <pane xSplit="3" ySplit="1" topLeftCell="D2" activePane="bottomRight" state="frozen"/>
      <selection pane="topRight" activeCell="D1" sqref="D1"/>
      <selection pane="bottomLeft" activeCell="A2" sqref="A2"/>
      <selection pane="bottomRight" activeCell="A1" sqref="A1"/>
    </sheetView>
  </sheetViews>
  <sheetFormatPr baseColWidth="8" defaultColWidth="8.6640625" defaultRowHeight="14.4"/>
  <cols>
    <col width="8" customWidth="1" min="1" max="1"/>
    <col width="42" customWidth="1" min="2" max="3"/>
    <col width="30" customWidth="1" min="4" max="5"/>
    <col width="50" customWidth="1" min="6" max="6"/>
    <col width="38" customWidth="1" min="7" max="7"/>
    <col width="30" customWidth="1" min="8" max="8"/>
    <col width="40" customWidth="1" min="9" max="9"/>
    <col width="10" customWidth="1" min="10" max="10"/>
    <col width="22" customWidth="1" min="11" max="11"/>
    <col width="50" customWidth="1" min="12" max="12"/>
    <col width="20" customWidth="1" min="13" max="13"/>
    <col width="22" customWidth="1" min="14" max="15"/>
    <col width="18" customWidth="1" min="16" max="18"/>
    <col width="20" customWidth="1" min="19" max="19"/>
    <col width="28" customWidth="1" min="20" max="20"/>
    <col width="36" customWidth="1" min="21" max="21"/>
    <col width="30" customWidth="1" min="22" max="22"/>
    <col width="14" customWidth="1" min="23" max="23"/>
    <col width="18" customWidth="1" min="24" max="26"/>
    <col width="62" customWidth="1" min="27" max="27"/>
    <col width="50" customWidth="1" min="28" max="28"/>
    <col width="62" customWidth="1" min="29" max="29"/>
    <col width="22" customWidth="1" min="30" max="30"/>
  </cols>
  <sheetData>
    <row r="1" ht="37.5" customHeight="1">
      <c r="A1" s="6" t="inlineStr">
        <is>
          <t>PDF Page (HUD)</t>
        </is>
      </c>
      <c r="B1" s="6" t="inlineStr">
        <is>
          <t>Program Name (HUD)</t>
        </is>
      </c>
      <c r="C1" s="6" t="inlineStr">
        <is>
          <t>Program Title (FPI)</t>
        </is>
      </c>
      <c r="D1" s="6" t="inlineStr">
        <is>
          <t>Administering Office (HUD)</t>
        </is>
      </c>
      <c r="E1" s="6" t="inlineStr">
        <is>
          <t>Sub-Agency (FPI)</t>
        </is>
      </c>
      <c r="F1" s="6" t="inlineStr">
        <is>
          <t>Program Summary (HUD)</t>
        </is>
      </c>
      <c r="G1" s="6" t="inlineStr">
        <is>
          <t>Statutory Authority (HUD)</t>
        </is>
      </c>
      <c r="H1" s="6" t="inlineStr">
        <is>
          <t>CFR Citation (HUD)</t>
        </is>
      </c>
      <c r="I1" s="6" t="inlineStr">
        <is>
          <t>Program Website(s) (HUD)</t>
        </is>
      </c>
      <c r="J1" s="6" t="inlineStr">
        <is>
          <t>AL Number (FPI)</t>
        </is>
      </c>
      <c r="K1" s="6" t="inlineStr">
        <is>
          <t>Popular Name (FPI)</t>
        </is>
      </c>
      <c r="L1" s="6" t="inlineStr">
        <is>
          <t>Objective (FPI)</t>
        </is>
      </c>
      <c r="M1" s="6" t="inlineStr">
        <is>
          <t>Assistance Types (FPI)</t>
        </is>
      </c>
      <c r="N1" s="6" t="inlineStr">
        <is>
          <t>Beneficiary Types (FPI)</t>
        </is>
      </c>
      <c r="O1" s="6" t="inlineStr">
        <is>
          <t>Applicant Types (FPI)</t>
        </is>
      </c>
      <c r="P1" s="6" t="inlineStr">
        <is>
          <t>FY2025 Obligation — FPI Headline ($, SAM est.) (FPI)</t>
        </is>
      </c>
      <c r="Q1" s="6" t="inlineStr">
        <is>
          <t>FY2024 Obligation ($, USAspending actual) (FPI)</t>
        </is>
      </c>
      <c r="R1" s="6" t="inlineStr">
        <is>
          <t>FY2023 Obligation ($, USAspending actual) (FPI)</t>
        </is>
      </c>
      <c r="S1" s="17" t="inlineStr">
        <is>
          <t>Income Test Type</t>
        </is>
      </c>
      <c r="T1" s="17" t="inlineStr">
        <is>
          <t>Statutory Family</t>
        </is>
      </c>
      <c r="U1" s="17" t="inlineStr">
        <is>
          <t>Governing Provision (income rule)</t>
        </is>
      </c>
      <c r="V1" s="17" t="inlineStr">
        <is>
          <t>Permitted Income Definition(s)</t>
        </is>
      </c>
      <c r="W1" s="17" t="inlineStr">
        <is>
          <t>Mandatory or Grantee Choice</t>
        </is>
      </c>
      <c r="X1" s="17" t="inlineStr">
        <is>
          <t>VA Comp — Income Eligibility</t>
        </is>
      </c>
      <c r="Y1" s="17" t="inlineStr">
        <is>
          <t>VA Comp — Rent / Assistance Amount</t>
        </is>
      </c>
      <c r="Z1" s="17" t="inlineStr">
        <is>
          <t>Eligibility Treatment vs. PL 119-70 §2</t>
        </is>
      </c>
      <c r="AA1" s="17" t="inlineStr">
        <is>
          <t>Legal Basis for VA Treatment</t>
        </is>
      </c>
      <c r="AB1" s="17" t="inlineStr">
        <is>
          <t>Why (rationale)</t>
        </is>
      </c>
      <c r="AC1" s="17" t="inlineStr">
        <is>
          <t>Notes &amp; Caveats</t>
        </is>
      </c>
      <c r="AD1" s="17" t="inlineStr">
        <is>
          <t>Verification Status</t>
        </is>
      </c>
    </row>
    <row r="2" ht="21.75" customHeight="1">
      <c r="A2" s="4" t="inlineStr">
        <is>
          <t>MATCHED PROGRAMS (87 pairs — one row per HUD/FPI match; a HUD program that covers several FPI sub-listings appears once per sub-listing)</t>
        </is>
      </c>
    </row>
    <row r="3" ht="84.75" customHeight="1">
      <c r="A3" s="18" t="n">
        <v>8</v>
      </c>
      <c r="B3" s="19" t="inlineStr">
        <is>
          <t>Capacity Building for Community Development and Affordable Housing (Section 4)</t>
        </is>
      </c>
      <c r="C3" s="20" t="inlineStr">
        <is>
          <t>Section 4 Capacity Building for Community Development and Affordable Housing</t>
        </is>
      </c>
      <c r="D3" s="19" t="inlineStr">
        <is>
          <t>Community Planning and Development (CPD)</t>
        </is>
      </c>
      <c r="E3" s="20" t="inlineStr">
        <is>
          <t>Assistant Secretary for Community Planning and Development</t>
        </is>
      </c>
      <c r="F3" s="19" t="inlineStr">
        <is>
          <t>Grants to national intermediaries to develop the capacity and ability of community development corporations (CDCs) and community housing development organizations (CHDOs) to carry out community development and affordable housing activities that benefit low- and moderateincome families and persons.</t>
        </is>
      </c>
      <c r="G3" s="19" t="inlineStr">
        <is>
          <t>Section 4 of the HUD Demonstration Act of 1993 (42 U.S.C. 9816 note).</t>
        </is>
      </c>
      <c r="H3" s="19" t="n"/>
      <c r="I3" s="21" t="inlineStr">
        <is>
          <t>https://www.hud.gov/program_offices/comm_planning/section-4</t>
        </is>
      </c>
      <c r="J3" s="20" t="inlineStr">
        <is>
          <t>14.252</t>
        </is>
      </c>
      <c r="K3" s="20" t="inlineStr">
        <is>
          <t xml:space="preserve">Section 4 Capacity Building </t>
        </is>
      </c>
      <c r="L3" s="20" t="inlineStr">
        <is>
          <t>The Section 4 program builds the capacity of Community Development Corporations (CDCs) and Community Housing Development Organizations (CHDOs) to serve their communities and low- and moderate-income families with community development and affordable housing activities.</t>
        </is>
      </c>
      <c r="M3" s="20" t="inlineStr">
        <is>
          <t>Project Grants</t>
        </is>
      </c>
      <c r="N3" s="20" t="inlineStr">
        <is>
          <t>Private nonprofit institution/organization</t>
        </is>
      </c>
      <c r="O3" s="20" t="inlineStr">
        <is>
          <t>Other private institutions/organizations</t>
        </is>
      </c>
      <c r="P3" s="22" t="n">
        <v>0</v>
      </c>
      <c r="Q3" s="22" t="n">
        <v>83000000</v>
      </c>
      <c r="R3" s="22" t="n">
        <v>41000000</v>
      </c>
      <c r="S3" s="23" t="inlineStr">
        <is>
          <t>Not income-tested</t>
        </is>
      </c>
      <c r="T3" s="23" t="inlineStr">
        <is>
          <t>Other statutes &amp; appropriations</t>
        </is>
      </c>
      <c r="U3" s="23" t="inlineStr">
        <is>
          <t>—</t>
        </is>
      </c>
      <c r="V3" s="23" t="inlineStr">
        <is>
          <t>N/A</t>
        </is>
      </c>
      <c r="W3" s="23" t="inlineStr">
        <is>
          <t>N/A</t>
        </is>
      </c>
      <c r="X3" s="23" t="inlineStr">
        <is>
          <t>Not applicable</t>
        </is>
      </c>
      <c r="Y3" s="23" t="inlineStr">
        <is>
          <t>Not applicable</t>
        </is>
      </c>
      <c r="Z3" s="23">
        <f>IF(X3="","",IF(X3="Excluded","Consistent",IF(X3="Counted","Inconsistent",IF(X3="Varies (grantee/agency choice)","Partly inconsistent",IF(X3="Not applicable","Not applicable","Needs check")))))</f>
        <v/>
      </c>
      <c r="AA3" s="23" t="inlineStr">
        <is>
          <t>No household income eligibility test: grants to national intermediaries for capacity building (HUD Demonstration Act of 1993 §4).</t>
        </is>
      </c>
      <c r="AB3" s="23" t="inlineStr">
        <is>
          <t>Not a means-tested household benefit.</t>
        </is>
      </c>
      <c r="AC3" s="23" t="n"/>
      <c r="AD3" s="23" t="inlineStr">
        <is>
          <t>Not verified — low risk (not income-tested)</t>
        </is>
      </c>
    </row>
    <row r="4" ht="152.25" customHeight="1">
      <c r="A4" s="18" t="n">
        <v>9</v>
      </c>
      <c r="B4" s="19" t="inlineStr">
        <is>
          <t>Community Development Block Grant Disaster Recovery (CDBG-DR) Assistance</t>
        </is>
      </c>
      <c r="C4" s="20" t="inlineStr">
        <is>
          <t>Hurricane Sandy Community Development Block Grant Disaster Recovery Grants (CDBG-DR)</t>
        </is>
      </c>
      <c r="D4" s="19" t="inlineStr">
        <is>
          <t>Community Planning and Development (CPD)</t>
        </is>
      </c>
      <c r="E4" s="20" t="inlineStr">
        <is>
          <t>Assistant Secretary for Community Planning and Development</t>
        </is>
      </c>
      <c r="F4" s="19" t="inlineStr">
        <is>
          <t>Flexible grants to help the most impacted and distressed areas recover long-term after Presidentially declared disasters.</t>
        </is>
      </c>
      <c r="G4" s="19" t="inlineStr">
        <is>
          <t>CDBG-DR assistance is largely governed by specific appropriations acts, most recently Public Law 117-328, and it is also subject to provisions of Title I of the Housing and Community Development Act of 1974 (42 U.S.C. 5301, et seq.) (made applicable by appropriations acts unless waived) and certain provisions of the Robert T. Stafford Disaster Relief and Emergency Assistance Act (42 U.S.C. 5121, et seq.).</t>
        </is>
      </c>
      <c r="H4" s="19" t="n"/>
      <c r="I4" s="21" t="inlineStr">
        <is>
          <t>https://www.hud.gov/program_offices/comm_planning/cdbg-dr</t>
        </is>
      </c>
      <c r="J4" s="20" t="inlineStr">
        <is>
          <t>14.269</t>
        </is>
      </c>
      <c r="K4" s="20" t="inlineStr">
        <is>
          <t>Community Development Block Grant Disaster Recovery program for Hurricane Sandy and other qualifying disasters occurring in 2011, 2012 and 2013</t>
        </is>
      </c>
      <c r="L4" s="20" t="inlineStr">
        <is>
          <t>The overall CDBG program objective is to develop viable urban communities, by providing decent housing and a suitable living environment, and by expanding economic opportunities, principally for persons of low and moderate income. CDBG DR program funds appropriated by P.L. 113-2 are for necessary expenses related to disaster relief, long-term recovery, restoration of infrastructure and housing, and economic revitalization in the most impacted and distressed areas resulting from a major disaster declaration due to Hurricane Sandy and other eligible events in calendar years 2011, 2012, and 2013.</t>
        </is>
      </c>
      <c r="M4" s="20" t="inlineStr">
        <is>
          <t>Formula Grants</t>
        </is>
      </c>
      <c r="N4" s="20" t="inlineStr">
        <is>
          <t>Homeowner,Individual/Family,Low Income,Moderate Income,Private nonprofit institution/organization,Public nonprofit institution/organization,Small business</t>
        </is>
      </c>
      <c r="O4" s="20" t="inlineStr">
        <is>
          <t>Local (includes State-designated lndian Tribes, excludes institutions of higher education and hospitals,State,U.S. Territories and possessions</t>
        </is>
      </c>
      <c r="P4" s="22" t="n">
        <v>0</v>
      </c>
      <c r="Q4" s="22" t="n">
        <v>-140842.94</v>
      </c>
      <c r="R4" s="22" t="n">
        <v>-1</v>
      </c>
      <c r="S4" s="23" t="inlineStr">
        <is>
          <t>Household income test</t>
        </is>
      </c>
      <c r="T4" s="23" t="inlineStr">
        <is>
          <t>HCDA Title I (CDBG family)</t>
        </is>
      </c>
      <c r="U4" s="23" t="inlineStr">
        <is>
          <t>42 U.S.C. 5302(a)(20)(C) (added by PL 119-70 §2); 24 CFR 570.3 'Income'</t>
        </is>
      </c>
      <c r="V4" s="23" t="inlineStr">
        <is>
          <t>Part 5 / Census long-form / IRS 1040 AGI (grantee picks per activity)</t>
        </is>
      </c>
      <c r="W4" s="23" t="inlineStr">
        <is>
          <t>Grantee menu</t>
        </is>
      </c>
      <c r="X4" s="23" t="inlineStr">
        <is>
          <t>Excluded</t>
        </is>
      </c>
      <c r="Y4" s="23" t="inlineStr">
        <is>
          <t>Not applicable</t>
        </is>
      </c>
      <c r="Z4" s="23">
        <f>IF(X4="","",IF(X4="Excluded","Consistent",IF(X4="Counted","Inconsistent",IF(X4="Varies (grantee/agency choice)","Partly inconsistent",IF(X4="Not applicable","Not applicable","Needs check")))))</f>
        <v/>
      </c>
      <c r="AA4" s="23" t="inlineStr">
        <is>
          <t>PL 119-70 §2 (Jan. 20, 2026) requires a State, unit of general local government, or Indian tribe to exclude VA service-connected disability compensation when determining whether a person is low/moderate income. HUD implemented it sub-regulatorily in Notice CPD-26-09 (posted Sept. 4, 2026). 24 CFR 570.3 has not been amended: its Census option still lists 'Veterans' (VA) payments' as income.</t>
        </is>
      </c>
      <c r="AB4" s="23" t="inlineStr">
        <is>
          <t>HCDA sets income limits (80% AMI) but left the income definition to HUD, which offered a three-definition menu (1995) to ease local administration. Before PL 119-70, treatment depended on the definition: counted under Part 5 and Census, excluded under IRS 1040 (compensation is non-taxable). Congress cited that inconsistency (H. Rept. 118-652).</t>
        </is>
      </c>
      <c r="AC4" s="23" t="inlineStr">
        <is>
          <t>CDBG-DR funds come through supplemental appropriations that give HUD broad waiver authority; check whether any DR Federal Register notice alters the income definition. Hurricane Sandy grants are largely closed out. Statute (5302(a)(20)(C)) and 570.3 read this session; CPD-26-09's existence and date confirmed but its text could not be retrieved.</t>
        </is>
      </c>
      <c r="AD4" s="23" t="inlineStr">
        <is>
          <t>Partly verified</t>
        </is>
      </c>
    </row>
    <row r="5" ht="179.25" customHeight="1">
      <c r="A5" s="18" t="n">
        <v>9</v>
      </c>
      <c r="B5" s="19" t="inlineStr">
        <is>
          <t>Community Development Block Grant Disaster Recovery (CDBG-DR) Assistance</t>
        </is>
      </c>
      <c r="C5" s="20" t="inlineStr">
        <is>
          <t>National Disaster Resilience Competition</t>
        </is>
      </c>
      <c r="D5" s="19" t="inlineStr">
        <is>
          <t>Community Planning and Development (CPD)</t>
        </is>
      </c>
      <c r="E5" s="20" t="inlineStr">
        <is>
          <t>Assistant Secretary for Community Planning and Development</t>
        </is>
      </c>
      <c r="F5" s="19" t="inlineStr">
        <is>
          <t>Flexible grants to help the most impacted and distressed areas recover long-term after Presidentially declared disasters.</t>
        </is>
      </c>
      <c r="G5" s="19" t="inlineStr">
        <is>
          <t>CDBG-DR assistance is largely governed by specific appropriations acts, most recently Public Law 117-328, and it is also subject to provisions of Title I of the Housing and Community Development Act of 1974 (42 U.S.C. 5301, et seq.) (made applicable by appropriations acts unless waived) and certain provisions of the Robert T. Stafford Disaster Relief and Emergency Assistance Act (42 U.S.C. 5121, et seq.).</t>
        </is>
      </c>
      <c r="H5" s="19" t="n"/>
      <c r="I5" s="21" t="inlineStr">
        <is>
          <t>https://www.hud.gov/program_offices/comm_planning/cdbg-dr</t>
        </is>
      </c>
      <c r="J5" s="20" t="inlineStr">
        <is>
          <t>14.272</t>
        </is>
      </c>
      <c r="K5" s="20" t="inlineStr">
        <is>
          <t>Community Development Block Grant P. L. 113-2</t>
        </is>
      </c>
      <c r="L5" s="20" t="inlineStr">
        <is>
          <t>The overall CDBG program objective is to develop viable urban communities, by providing decent housing and a suitable living environment, and by expanding economic opportunities, principally for persons of low and moderate income. The National Resilient Disaster Competition program funds appropriated by P.L. 113-2 are available for resilient recovery projects and necessary expenses related to disaster relief, long-term recovery, restoration of infrastructure and housing, and economic revitalization in the most impacted and distressed areas resulting from a major disaster declared pursuant to the due to Hurricane Sandy and other eligible events in calendar years 2011, 2012, and 2013.</t>
        </is>
      </c>
      <c r="M5" s="20" t="inlineStr">
        <is>
          <t>Project Grants</t>
        </is>
      </c>
      <c r="N5" s="20" t="inlineStr">
        <is>
          <t>Anyone/general public,Homeowner,Interstate,Local,Low Income,Moderate Income,Private nonprofit institution/organization,Profit organization,Public nonprofit institution/organization,Senior Citizen (60+),Small business,State</t>
        </is>
      </c>
      <c r="O5" s="20" t="inlineStr">
        <is>
          <t>Local (includes State-designated lndian Tribes, excludes institutions of higher education and hospitals,State,U.S. Territories and possessions</t>
        </is>
      </c>
      <c r="P5" s="22" t="n">
        <v>0</v>
      </c>
      <c r="Q5" s="22" t="n">
        <v>0</v>
      </c>
      <c r="R5" s="22" t="n">
        <v>-606138.41</v>
      </c>
      <c r="S5" s="23" t="inlineStr">
        <is>
          <t>Household income test</t>
        </is>
      </c>
      <c r="T5" s="23" t="inlineStr">
        <is>
          <t>HCDA Title I (CDBG family)</t>
        </is>
      </c>
      <c r="U5" s="23" t="inlineStr">
        <is>
          <t>42 U.S.C. 5302(a)(20)(C) (added by PL 119-70 §2); 24 CFR 570.3 'Income'</t>
        </is>
      </c>
      <c r="V5" s="23" t="inlineStr">
        <is>
          <t>Part 5 / Census long-form / IRS 1040 AGI (grantee picks per activity)</t>
        </is>
      </c>
      <c r="W5" s="23" t="inlineStr">
        <is>
          <t>Grantee menu</t>
        </is>
      </c>
      <c r="X5" s="23" t="inlineStr">
        <is>
          <t>Excluded</t>
        </is>
      </c>
      <c r="Y5" s="23" t="inlineStr">
        <is>
          <t>Not applicable</t>
        </is>
      </c>
      <c r="Z5" s="23">
        <f>IF(X5="","",IF(X5="Excluded","Consistent",IF(X5="Counted","Inconsistent",IF(X5="Varies (grantee/agency choice)","Partly inconsistent",IF(X5="Not applicable","Not applicable","Needs check")))))</f>
        <v/>
      </c>
      <c r="AA5" s="23" t="inlineStr">
        <is>
          <t>PL 119-70 §2 (Jan. 20, 2026) requires a State, unit of general local government, or Indian tribe to exclude VA service-connected disability compensation when determining whether a person is low/moderate income. HUD implemented it sub-regulatorily in Notice CPD-26-09 (posted Sept. 4, 2026). 24 CFR 570.3 has not been amended: its Census option still lists 'Veterans' (VA) payments' as income.</t>
        </is>
      </c>
      <c r="AB5" s="23" t="inlineStr">
        <is>
          <t>HCDA sets income limits (80% AMI) but left the income definition to HUD, which offered a three-definition menu (1995) to ease local administration. Before PL 119-70, treatment depended on the definition: counted under Part 5 and Census, excluded under IRS 1040 (compensation is non-taxable). Congress cited that inconsistency (H. Rept. 118-652).</t>
        </is>
      </c>
      <c r="AC5" s="23" t="inlineStr">
        <is>
          <t>National Disaster Resilience Competition (PL 113-2 CDBG-DR funds); same caveats as CDBG-DR. Statute (5302(a)(20)(C)) and 570.3 read this session; CPD-26-09's existence and date confirmed but its text could not be retrieved.</t>
        </is>
      </c>
      <c r="AD5" s="23" t="inlineStr">
        <is>
          <t>Partly verified</t>
        </is>
      </c>
    </row>
    <row r="6" ht="98.25" customHeight="1">
      <c r="A6" s="18" t="n">
        <v>11</v>
      </c>
      <c r="B6" s="19" t="inlineStr">
        <is>
          <t>Community Development Block Grants (CDBG) (Entitlement)</t>
        </is>
      </c>
      <c r="C6" s="20" t="inlineStr">
        <is>
          <t>Community Development Block Grants/Entitlement Grants</t>
        </is>
      </c>
      <c r="D6" s="19" t="inlineStr">
        <is>
          <t>Community Planning and Development (CPD)</t>
        </is>
      </c>
      <c r="E6" s="20" t="inlineStr">
        <is>
          <t>Assistant Secretary for Community Planning and Development</t>
        </is>
      </c>
      <c r="F6" s="19" t="inlineStr">
        <is>
          <t>Funding to help metropolitan cities and urban counties meet their housing and community development needs.</t>
        </is>
      </c>
      <c r="G6" s="19" t="inlineStr">
        <is>
          <t>Title I, Housing and Community Development Act of 1974 (Public Law 93383, approved August 22, 1974) (42 U.S.C. 5301, et seq.).</t>
        </is>
      </c>
      <c r="H6" s="19" t="inlineStr">
        <is>
          <t>CDBG Program regulations are at 24 CFR part 570 and consolidated plan regulations are at 24 CFR part 91.</t>
        </is>
      </c>
      <c r="I6" s="21" t="inlineStr">
        <is>
          <t>https://www.hud.gov/program_offices/comm_planning/cdbg</t>
        </is>
      </c>
      <c r="J6" s="20" t="inlineStr">
        <is>
          <t>14.218</t>
        </is>
      </c>
      <c r="K6" s="20" t="inlineStr">
        <is>
          <t>Community Development Block Grant Program for Entitlement Communities.</t>
        </is>
      </c>
      <c r="L6" s="20" t="inlineStr">
        <is>
          <t>To develop viable urban communities by providing decent housing, a suitable living environment, and expanding economic opportunities, principally for persons of low and moderate income.</t>
        </is>
      </c>
      <c r="M6" s="20" t="inlineStr">
        <is>
          <t>Formula Grants</t>
        </is>
      </c>
      <c r="N6" s="20" t="inlineStr">
        <is>
          <t>Individual/Family,Low Income,Moderate Income</t>
        </is>
      </c>
      <c r="O6" s="20" t="inlineStr">
        <is>
          <t>Government - General</t>
        </is>
      </c>
      <c r="P6" s="22" t="n">
        <v>0</v>
      </c>
      <c r="Q6" s="22" t="n">
        <v>2093135933.61</v>
      </c>
      <c r="R6" s="22" t="n">
        <v>2768786400.36</v>
      </c>
      <c r="S6" s="23" t="inlineStr">
        <is>
          <t>Household income test</t>
        </is>
      </c>
      <c r="T6" s="23" t="inlineStr">
        <is>
          <t>HCDA Title I (CDBG family)</t>
        </is>
      </c>
      <c r="U6" s="23" t="inlineStr">
        <is>
          <t>42 U.S.C. 5302(a)(20)(C) (added by PL 119-70 §2); 24 CFR 570.3 'Income'</t>
        </is>
      </c>
      <c r="V6" s="23" t="inlineStr">
        <is>
          <t>Part 5 / Census long-form / IRS 1040 AGI (grantee picks per activity)</t>
        </is>
      </c>
      <c r="W6" s="23" t="inlineStr">
        <is>
          <t>Grantee menu</t>
        </is>
      </c>
      <c r="X6" s="23" t="inlineStr">
        <is>
          <t>Excluded</t>
        </is>
      </c>
      <c r="Y6" s="23" t="inlineStr">
        <is>
          <t>Not applicable</t>
        </is>
      </c>
      <c r="Z6" s="23">
        <f>IF(X6="","",IF(X6="Excluded","Consistent",IF(X6="Counted","Inconsistent",IF(X6="Varies (grantee/agency choice)","Partly inconsistent",IF(X6="Not applicable","Not applicable","Needs check")))))</f>
        <v/>
      </c>
      <c r="AA6" s="23" t="inlineStr">
        <is>
          <t>PL 119-70 §2 (Jan. 20, 2026) requires a State, unit of general local government, or Indian tribe to exclude VA service-connected disability compensation when determining whether a person is low/moderate income. HUD implemented it sub-regulatorily in Notice CPD-26-09 (posted Sept. 4, 2026). 24 CFR 570.3 has not been amended: its Census option still lists 'Veterans' (VA) payments' as income.</t>
        </is>
      </c>
      <c r="AB6" s="23" t="inlineStr">
        <is>
          <t>HCDA sets income limits (80% AMI) but left the income definition to HUD, which offered a three-definition menu (1995) to ease local administration. Before PL 119-70, treatment depended on the definition: counted under Part 5 and Census, excluded under IRS 1040 (compensation is non-taxable). Congress cited that inconsistency (H. Rept. 118-652).</t>
        </is>
      </c>
      <c r="AC6" s="23" t="inlineStr">
        <is>
          <t>Area-benefit activities qualify using HUD's LMISD tabulations of ACS income, which include VA payments; PL 119-70 speaks to a person's income determination and doesn't obviously reach area data. CDBG sets no household rent formula, so rent is N/A. Statute (5302(a)(20)(C)) and 570.3 read this session; CPD-26-09's existence and date confirmed but its text could not be retrieved.</t>
        </is>
      </c>
      <c r="AD6" s="23" t="inlineStr">
        <is>
          <t>Partly verified</t>
        </is>
      </c>
    </row>
    <row r="7" ht="192.75" customHeight="1">
      <c r="A7" s="18" t="n">
        <v>13</v>
      </c>
      <c r="B7" s="19" t="inlineStr">
        <is>
          <t>Community Development Block Grants for Insular Areas</t>
        </is>
      </c>
      <c r="C7" s="20" t="inlineStr">
        <is>
          <t>Community Development Block Grants/Special Purpose Grants/Insular Areas</t>
        </is>
      </c>
      <c r="D7" s="19" t="inlineStr">
        <is>
          <t>Community Planning and Development (CPD)</t>
        </is>
      </c>
      <c r="E7" s="20" t="inlineStr">
        <is>
          <t>Assistant Secretary for Community Planning and Development</t>
        </is>
      </c>
      <c r="F7" s="19" t="inlineStr">
        <is>
          <t>Funding to help certain U.S. territories meet their housing and community development needs.</t>
        </is>
      </c>
      <c r="G7" s="19" t="inlineStr">
        <is>
          <t>Title I, Housing and Community Development Act of 1974 (42 U.S.C. 5301, et seq.).</t>
        </is>
      </c>
      <c r="H7" s="19" t="inlineStr">
        <is>
          <t>CDBG Program regulations are at 24 CFR part 570 and consolidated plan regulations are at 24 CFR part 91.</t>
        </is>
      </c>
      <c r="I7" s="21" t="inlineStr">
        <is>
          <t>https://www.hud.gov/program_offices/comm_planning/cdbg</t>
        </is>
      </c>
      <c r="J7" s="20" t="inlineStr">
        <is>
          <t>14.225</t>
        </is>
      </c>
      <c r="K7" s="20" t="inlineStr">
        <is>
          <t>Insular CDBG</t>
        </is>
      </c>
      <c r="L7" s="20" t="inlineStr">
        <is>
          <t>To provide community development assistance to the Pacific Islands of American Samoa, Guam, the Northern Mariana Islands, and the Virgin Islands in the Caribbean, by providing decent housing, a suitable living environment, and expanding economic opportunities, principally for persons of low- and moderate-income.  Each activity funded must meet one of the program's National Objectives by: Benefiting low- and moderate-income families; aiding in the prevention or elimination of slums or blight; or meeting other community development needs having a particular urgency because existing conditions pose a serious and immediate threat to the health or welfare of the community where other financial resources are not available.</t>
        </is>
      </c>
      <c r="M7" s="20" t="inlineStr">
        <is>
          <t>Formula Grants</t>
        </is>
      </c>
      <c r="N7" s="20" t="inlineStr">
        <is>
          <t>Low Income,Moderate Income,U.S. Territories</t>
        </is>
      </c>
      <c r="O7" s="20" t="inlineStr">
        <is>
          <t>U.S. Territories and possessions (includes institutions of higher education and hospitals)</t>
        </is>
      </c>
      <c r="P7" s="22" t="n">
        <v>0</v>
      </c>
      <c r="Q7" s="22" t="n">
        <v>6019875</v>
      </c>
      <c r="R7" s="22" t="n">
        <v>7846826.65</v>
      </c>
      <c r="S7" s="23" t="inlineStr">
        <is>
          <t>Household income test</t>
        </is>
      </c>
      <c r="T7" s="23" t="inlineStr">
        <is>
          <t>HCDA Title I (CDBG family)</t>
        </is>
      </c>
      <c r="U7" s="23" t="inlineStr">
        <is>
          <t>42 U.S.C. 5302(a)(20)(C) (added by PL 119-70 §2); 24 CFR 570.3 'Income'</t>
        </is>
      </c>
      <c r="V7" s="23" t="inlineStr">
        <is>
          <t>Part 5 / Census long-form / IRS 1040 AGI (grantee picks per activity)</t>
        </is>
      </c>
      <c r="W7" s="23" t="inlineStr">
        <is>
          <t>Grantee menu</t>
        </is>
      </c>
      <c r="X7" s="23" t="inlineStr">
        <is>
          <t>Excluded</t>
        </is>
      </c>
      <c r="Y7" s="23" t="inlineStr">
        <is>
          <t>Not applicable</t>
        </is>
      </c>
      <c r="Z7" s="23">
        <f>IF(X7="","",IF(X7="Excluded","Consistent",IF(X7="Counted","Inconsistent",IF(X7="Varies (grantee/agency choice)","Partly inconsistent",IF(X7="Not applicable","Not applicable","Needs check")))))</f>
        <v/>
      </c>
      <c r="AA7" s="23" t="inlineStr">
        <is>
          <t>PL 119-70 §2 (Jan. 20, 2026) requires a State, unit of general local government, or Indian tribe to exclude VA service-connected disability compensation when determining whether a person is low/moderate income. HUD implemented it sub-regulatorily in Notice CPD-26-09 (posted Sept. 4, 2026). 24 CFR 570.3 has not been amended: its Census option still lists 'Veterans' (VA) payments' as income.</t>
        </is>
      </c>
      <c r="AB7" s="23" t="inlineStr">
        <is>
          <t>HCDA sets income limits (80% AMI) but left the income definition to HUD, which offered a three-definition menu (1995) to ease local administration. Before PL 119-70, treatment depended on the definition: counted under Part 5 and Census, excluded under IRS 1040 (compensation is non-taxable). Congress cited that inconsistency (H. Rept. 118-652).</t>
        </is>
      </c>
      <c r="AC7" s="23" t="inlineStr">
        <is>
          <t>Insular Areas CDBG follows part 570 rules. Statute (5302(a)(20)(C)) and 570.3 read this session; CPD-26-09's existence and date confirmed but its text could not be retrieved.</t>
        </is>
      </c>
      <c r="AD7" s="23" t="inlineStr">
        <is>
          <t>Partly verified</t>
        </is>
      </c>
    </row>
    <row r="8" ht="165.75" customHeight="1">
      <c r="A8" s="18" t="n">
        <v>14</v>
      </c>
      <c r="B8" s="19" t="inlineStr">
        <is>
          <t>Community Development Block Grants (Non-Entitlement) for States and Small Cities</t>
        </is>
      </c>
      <c r="C8" s="20" t="inlineStr">
        <is>
          <t>Community Development Block Grants/State's program and Non-Entitlement Grants in Hawaii</t>
        </is>
      </c>
      <c r="D8" s="19" t="inlineStr">
        <is>
          <t>Community Planning and Development (CPD)</t>
        </is>
      </c>
      <c r="E8" s="20" t="inlineStr">
        <is>
          <t>Assistant Secretary for Community Planning and Development</t>
        </is>
      </c>
      <c r="F8" s="19" t="inlineStr">
        <is>
          <t>Funding to help States and units of local government in non-entitlement areas meet their housing and community development needs.</t>
        </is>
      </c>
      <c r="G8" s="19" t="inlineStr">
        <is>
          <t>Title I, Housing and Community Development Act of 1974 (42 U.S.C. 5301, et seq.).</t>
        </is>
      </c>
      <c r="H8" s="19" t="inlineStr">
        <is>
          <t>CDBG program regulations are at 24 CFR part 570 and consolidated plan regulations are at 24 CFR part 91.</t>
        </is>
      </c>
      <c r="I8" s="21" t="inlineStr">
        <is>
          <t>https://www.hud.gov/program_offices/comm_planning/cdbg</t>
        </is>
      </c>
      <c r="J8" s="20" t="inlineStr">
        <is>
          <t>14.228</t>
        </is>
      </c>
      <c r="K8" s="20" t="inlineStr">
        <is>
          <t>State CDBG</t>
        </is>
      </c>
      <c r="L8" s="20" t="inlineStr">
        <is>
          <t>The primary objective of this program is the development of viable urban communities by providing decent housing, a suitable living environment, and expanding economic opportunities, principally for persons of low- and moderate-income.  Each activity funded must meet one of the program's National Objectives by: Benefiting low- and moderate-income families; aiding in the prevention or elimination of slums or blight; or meeting other community development needs having a particular urgency because existing conditions pose a serious and immediate threat to the health or welfare of the community where other financial resources are not available.</t>
        </is>
      </c>
      <c r="M8" s="20" t="inlineStr">
        <is>
          <t>Formula Grants</t>
        </is>
      </c>
      <c r="N8" s="20" t="inlineStr">
        <is>
          <t>Local,Low Income,Moderate Income</t>
        </is>
      </c>
      <c r="O8" s="20" t="inlineStr">
        <is>
          <t>State (includes District of Columbia, public institutions of higher education and hospitals)</t>
        </is>
      </c>
      <c r="P8" s="22" t="n">
        <v>0</v>
      </c>
      <c r="Q8" s="22" t="n">
        <v>5115008798.19</v>
      </c>
      <c r="R8" s="22" t="n">
        <v>7078072378.13</v>
      </c>
      <c r="S8" s="23" t="inlineStr">
        <is>
          <t>Household income test</t>
        </is>
      </c>
      <c r="T8" s="23" t="inlineStr">
        <is>
          <t>HCDA Title I (CDBG family)</t>
        </is>
      </c>
      <c r="U8" s="23" t="inlineStr">
        <is>
          <t>42 U.S.C. 5302(a)(20)(C) (added by PL 119-70 §2); 24 CFR 570.3 'Income'</t>
        </is>
      </c>
      <c r="V8" s="23" t="inlineStr">
        <is>
          <t>Part 5 / Census long-form / IRS 1040 AGI (grantee picks per activity)</t>
        </is>
      </c>
      <c r="W8" s="23" t="inlineStr">
        <is>
          <t>Grantee menu</t>
        </is>
      </c>
      <c r="X8" s="23" t="inlineStr">
        <is>
          <t>Excluded</t>
        </is>
      </c>
      <c r="Y8" s="23" t="inlineStr">
        <is>
          <t>Not applicable</t>
        </is>
      </c>
      <c r="Z8" s="23">
        <f>IF(X8="","",IF(X8="Excluded","Consistent",IF(X8="Counted","Inconsistent",IF(X8="Varies (grantee/agency choice)","Partly inconsistent",IF(X8="Not applicable","Not applicable","Needs check")))))</f>
        <v/>
      </c>
      <c r="AA8" s="23" t="inlineStr">
        <is>
          <t>PL 119-70 §2 (Jan. 20, 2026) requires a State, unit of general local government, or Indian tribe to exclude VA service-connected disability compensation when determining whether a person is low/moderate income. HUD implemented it sub-regulatorily in Notice CPD-26-09 (posted Sept. 4, 2026). 24 CFR 570.3 has not been amended: its Census option still lists 'Veterans' (VA) payments' as income.</t>
        </is>
      </c>
      <c r="AB8" s="23" t="inlineStr">
        <is>
          <t>HCDA sets income limits (80% AMI) but left the income definition to HUD, which offered a three-definition menu (1995) to ease local administration. Before PL 119-70, treatment depended on the definition: counted under Part 5 and Census, excluded under IRS 1040 (compensation is non-taxable). Congress cited that inconsistency (H. Rept. 118-652).</t>
        </is>
      </c>
      <c r="AC8" s="23" t="inlineStr">
        <is>
          <t>States' own income-definition rules (24 CFR 570.481–.483) were not checked; PL 119-70 applies to States by its terms. Statute (5302(a)(20)(C)) and 570.3 read this session; CPD-26-09's existence and date confirmed but its text could not be retrieved.</t>
        </is>
      </c>
      <c r="AD8" s="23" t="inlineStr">
        <is>
          <t>Partly verified</t>
        </is>
      </c>
    </row>
    <row r="9" ht="98.25" customHeight="1">
      <c r="A9" s="18" t="n">
        <v>15</v>
      </c>
      <c r="B9" s="19" t="inlineStr">
        <is>
          <t>Community Development Block Grants (Section 108 Loan Guarantee)</t>
        </is>
      </c>
      <c r="C9" s="20" t="inlineStr">
        <is>
          <t>Community Development Block Grants Section 108 Loan Guarantees</t>
        </is>
      </c>
      <c r="D9" s="19" t="inlineStr">
        <is>
          <t>Community Planning and Development (CPD)</t>
        </is>
      </c>
      <c r="E9" s="20" t="inlineStr">
        <is>
          <t>Assistant Secretary for Community Planning and Development</t>
        </is>
      </c>
      <c r="F9" s="19" t="inlineStr">
        <is>
          <t>Loan guarantee assistance for community and economic development.</t>
        </is>
      </c>
      <c r="G9" s="19" t="inlineStr">
        <is>
          <t>Section 108 of the Housing and Community Development Act of 1974 (42 U.S.C. 5308).</t>
        </is>
      </c>
      <c r="H9" s="19" t="inlineStr">
        <is>
          <t>Regulations are at 24 CFR part 570.</t>
        </is>
      </c>
      <c r="I9" s="21" t="inlineStr">
        <is>
          <t>https://www.hud.gov/program_offices/comm_planning/section108</t>
        </is>
      </c>
      <c r="J9" s="20" t="inlineStr">
        <is>
          <t>14.248</t>
        </is>
      </c>
      <c r="K9" s="20" t="inlineStr">
        <is>
          <t>(Section 108)</t>
        </is>
      </c>
      <c r="L9" s="20" t="inlineStr">
        <is>
          <t>To provide communities with a source of financing for economic development, housing rehabilitation, public facilities, and large scale physical development projects.</t>
        </is>
      </c>
      <c r="M9" s="20" t="inlineStr">
        <is>
          <t>Guaranteed / Insured Loans</t>
        </is>
      </c>
      <c r="N9" s="20" t="inlineStr">
        <is>
          <t>Individual/Family,Low Income,Moderate Income</t>
        </is>
      </c>
      <c r="O9" s="20" t="inlineStr">
        <is>
          <t>Government - General,Other public institution/organization,State,U.S. Territories and possessions</t>
        </is>
      </c>
      <c r="P9" s="22" t="n">
        <v>0</v>
      </c>
      <c r="Q9" s="22" t="n">
        <v>0</v>
      </c>
      <c r="R9" s="22" t="n">
        <v>0</v>
      </c>
      <c r="S9" s="23" t="inlineStr">
        <is>
          <t>Household income test</t>
        </is>
      </c>
      <c r="T9" s="23" t="inlineStr">
        <is>
          <t>HCDA Title I (CDBG family)</t>
        </is>
      </c>
      <c r="U9" s="23" t="inlineStr">
        <is>
          <t>42 U.S.C. 5302(a)(20)(C) (added by PL 119-70 §2); 24 CFR 570.3 'Income'</t>
        </is>
      </c>
      <c r="V9" s="23" t="inlineStr">
        <is>
          <t>Part 5 / Census long-form / IRS 1040 AGI (grantee picks per activity)</t>
        </is>
      </c>
      <c r="W9" s="23" t="inlineStr">
        <is>
          <t>Grantee menu</t>
        </is>
      </c>
      <c r="X9" s="23" t="inlineStr">
        <is>
          <t>Excluded</t>
        </is>
      </c>
      <c r="Y9" s="23" t="inlineStr">
        <is>
          <t>Not applicable</t>
        </is>
      </c>
      <c r="Z9" s="23">
        <f>IF(X9="","",IF(X9="Excluded","Consistent",IF(X9="Counted","Inconsistent",IF(X9="Varies (grantee/agency choice)","Partly inconsistent",IF(X9="Not applicable","Not applicable","Needs check")))))</f>
        <v/>
      </c>
      <c r="AA9" s="23" t="inlineStr">
        <is>
          <t>PL 119-70 §2 (Jan. 20, 2026) requires a State, unit of general local government, or Indian tribe to exclude VA service-connected disability compensation when determining whether a person is low/moderate income. HUD implemented it sub-regulatorily in Notice CPD-26-09 (posted Sept. 4, 2026). 24 CFR 570.3 has not been amended: its Census option still lists 'Veterans' (VA) payments' as income.</t>
        </is>
      </c>
      <c r="AB9" s="23" t="inlineStr">
        <is>
          <t>HCDA sets income limits (80% AMI) but left the income definition to HUD, which offered a three-definition menu (1995) to ease local administration. Before PL 119-70, treatment depended on the definition: counted under Part 5 and Census, excluded under IRS 1040 (compensation is non-taxable). Congress cited that inconsistency (H. Rept. 118-652).</t>
        </is>
      </c>
      <c r="AC9" s="23" t="inlineStr">
        <is>
          <t>Section 108 guaranteed activities must meet CDBG national objectives, so the same low/mod determination applies. Statute (5302(a)(20)(C)) and 570.3 read this session; CPD-26-09's existence and date confirmed but its text could not be retrieved.</t>
        </is>
      </c>
      <c r="AD9" s="23" t="inlineStr">
        <is>
          <t>Partly verified</t>
        </is>
      </c>
    </row>
    <row r="10" ht="229.5" customHeight="1">
      <c r="A10" s="18" t="n">
        <v>17</v>
      </c>
      <c r="B10" s="19" t="inlineStr">
        <is>
          <t>Continuum of Care Program</t>
        </is>
      </c>
      <c r="C10" s="20" t="inlineStr">
        <is>
          <t xml:space="preserve">Continuum of Care Program </t>
        </is>
      </c>
      <c r="D10" s="19" t="inlineStr">
        <is>
          <t>Community Planning and Development (CPD)</t>
        </is>
      </c>
      <c r="E10" s="20" t="inlineStr">
        <is>
          <t>Assistant Secretary for Community Planning and Development</t>
        </is>
      </c>
      <c r="F10" s="19" t="inlineStr">
        <is>
          <t>Promotes community-wide commitment to the goal of ending homelessness; provides funding for efforts to quickly re-house homeless individuals and families while minimizing trauma and dislocation; promotes access to and effective utilization of mainstream programs; and optimizes self-sufficiency among individuals and families experiencing homelessness.</t>
        </is>
      </c>
      <c r="G10" s="19" t="inlineStr">
        <is>
          <t>Subtitle C of Title IV of the McKinney-Vento Homeless Assistance Act (42 U.S.C. 11381-11389).</t>
        </is>
      </c>
      <c r="H10" s="19" t="inlineStr">
        <is>
          <t>Regulations are at 24 CFR part 578.</t>
        </is>
      </c>
      <c r="I10" s="21" t="inlineStr">
        <is>
          <t>https://www.hud.gov/program_offices/comm_planning/coc</t>
        </is>
      </c>
      <c r="J10" s="20" t="inlineStr">
        <is>
          <t>14.267</t>
        </is>
      </c>
      <c r="K10" s="20" t="inlineStr">
        <is>
          <t>See Notice of Funding Opportunity [NOFO] for additional information.</t>
        </is>
      </c>
      <c r="L10" s="20" t="inlineStr">
        <is>
          <t xml:space="preserve">The program is designed to promote community-wide commitment to the goal of ending homelessness; provide funding for efforts by nonprofit providers, States, and local governments to quickly house homeless individuals and families while minimizing the trauma and dislocation caused to homeless individuals, families, and communities by homelessness; promote access to and effective utilization of mainstream programs by homeless individuals and families; and optimize self-sufficiency among individuals and families experiencing homelessness.  Continuum of Care Program funds may be used to pay for the eligible costs used to establish and operate projects under five program components: (i) permanent housing, which includes permanent supportive housing for persons with disabilities, and rapid rehousing; (ii) transitional housing; (iii) supportive services only; (iv) Homeless Management Information Systems (HMIS), and (v) in some cases, homelessness prevention. 
</t>
        </is>
      </c>
      <c r="M10" s="20" t="inlineStr">
        <is>
          <t>Project Grants</t>
        </is>
      </c>
      <c r="N10" s="20" t="inlineStr">
        <is>
          <t>Individual/Family</t>
        </is>
      </c>
      <c r="O10" s="20" t="inlineStr">
        <is>
          <t>Government - General,Local (includes State-designated lndian Tribes, excludes institutions of higher education and hospitals,Other private institutions/organizations,Quasi-public nonprofit institution/organization,Specialized group (e.g. health professionals, students, veterans),State</t>
        </is>
      </c>
      <c r="P10" s="22" t="n">
        <v>0</v>
      </c>
      <c r="Q10" s="22" t="n">
        <v>2965446336</v>
      </c>
      <c r="R10" s="22" t="n">
        <v>2588355061.93</v>
      </c>
      <c r="S10" s="23" t="inlineStr">
        <is>
          <t>Varies by component</t>
        </is>
      </c>
      <c r="T10" s="23" t="inlineStr">
        <is>
          <t>McKinney-Vento / AIDS Housing Opportunity Act</t>
        </is>
      </c>
      <c r="U10" s="23" t="inlineStr">
        <is>
          <t>McKinney-Vento Act Title IV (HEARTH); 24 CFR 578.77</t>
        </is>
      </c>
      <c r="V10" s="23" t="inlineStr">
        <is>
          <t>Part 5 (5.609 and 5.611(a)) for occupancy charges/rent</t>
        </is>
      </c>
      <c r="W10" s="23" t="inlineStr">
        <is>
          <t>Mandatory</t>
        </is>
      </c>
      <c r="X10" s="23" t="inlineStr">
        <is>
          <t>Not applicable</t>
        </is>
      </c>
      <c r="Y10" s="23" t="inlineStr">
        <is>
          <t>Counted</t>
        </is>
      </c>
      <c r="Z10" s="23">
        <f>IF(X10="","",IF(X10="Excluded","Consistent",IF(X10="Counted","Inconsistent",IF(X10="Varies (grantee/agency choice)","Partly inconsistent",IF(X10="Not applicable","Not applicable","Needs check")))))</f>
        <v/>
      </c>
      <c r="AA10" s="23" t="inlineStr">
        <is>
          <t>Eligibility is based on homelessness (and disability for PSH), not income, so there is no income eligibility test. When occupancy charges or rent are charged, 578.77 requires income to be calculated under 24 CFR 5.609/5.611(a), so VA compensation counts.</t>
        </is>
      </c>
      <c r="AB10" s="23" t="inlineStr">
        <is>
          <t>CPD homeless programs borrow the Part 5 definition because they set ongoing rent/occupancy charges like 1937 Act programs.</t>
        </is>
      </c>
      <c r="AC10" s="23" t="inlineStr">
        <is>
          <t>No eligibility inconsistency with PL 119-70 (which is eligibility-only), but VA compensation raises the participant's rent contribution.</t>
        </is>
      </c>
      <c r="AD10" s="23" t="inlineStr">
        <is>
          <t>Partly verified</t>
        </is>
      </c>
    </row>
    <row r="11" ht="111.75" customHeight="1">
      <c r="A11" s="18" t="n">
        <v>18</v>
      </c>
      <c r="B11" s="19" t="inlineStr">
        <is>
          <t>Emergency Solutions Grants (ESG) Program</t>
        </is>
      </c>
      <c r="C11" s="20" t="inlineStr">
        <is>
          <t>Emergency Solutions Grant Program</t>
        </is>
      </c>
      <c r="D11" s="19" t="inlineStr">
        <is>
          <t>Community Planning and Development (CPD)</t>
        </is>
      </c>
      <c r="E11" s="20" t="inlineStr">
        <is>
          <t>Assistant Secretary for Community Planning and Development</t>
        </is>
      </c>
      <c r="F11" s="19" t="inlineStr">
        <is>
          <t>Formula grants to provide emergency assistance to people who are homeless or at risk of homelessness and help them quickly regain stability in permanent housing.</t>
        </is>
      </c>
      <c r="G11" s="19" t="inlineStr">
        <is>
          <t>Subtitle B of Title IV of the McKinney-Vento Homeless Assistance Act (42 U.S.C. 11371-11378).</t>
        </is>
      </c>
      <c r="H11" s="19" t="inlineStr">
        <is>
          <t>Regulations are at 24 CFR part 576.</t>
        </is>
      </c>
      <c r="I11" s="21" t="inlineStr">
        <is>
          <t>https://www.hud.gov/program_offices/comm_planning/esg</t>
        </is>
      </c>
      <c r="J11" s="20" t="inlineStr">
        <is>
          <t>14.231</t>
        </is>
      </c>
      <c r="K11" s="20" t="inlineStr">
        <is>
          <t>Emergency Solutions Grants Program</t>
        </is>
      </c>
      <c r="L11" s="20" t="inlineStr">
        <is>
          <t>The ESG program provides funding to: (1) engage homeless individuals and families living on the street; (2) improve the number and quality of emergency shelters for homeless individuals and families; (3) help operate these shelters; (4) provide essential services to shelter residents, (5) rapidly re-house homeless individuals and families, and (6) prevent families and individuals from becoming homeless.</t>
        </is>
      </c>
      <c r="M11" s="20" t="inlineStr">
        <is>
          <t>Formula Grants</t>
        </is>
      </c>
      <c r="N11" s="20" t="inlineStr">
        <is>
          <t>Anyone/general public,Individual/Family</t>
        </is>
      </c>
      <c r="O11" s="20" t="inlineStr">
        <is>
          <t>Government - General</t>
        </is>
      </c>
      <c r="P11" s="22" t="n">
        <v>0</v>
      </c>
      <c r="Q11" s="22" t="n">
        <v>296164910.26</v>
      </c>
      <c r="R11" s="22" t="n">
        <v>373419859.95</v>
      </c>
      <c r="S11" s="23" t="inlineStr">
        <is>
          <t>Varies by component</t>
        </is>
      </c>
      <c r="T11" s="23" t="inlineStr">
        <is>
          <t>McKinney-Vento / AIDS Housing Opportunity Act</t>
        </is>
      </c>
      <c r="U11" s="23" t="inlineStr">
        <is>
          <t>McKinney-Vento Act Title IV (HEARTH); 24 CFR 576.103, 576.401(b)–(c)</t>
        </is>
      </c>
      <c r="V11" s="23" t="inlineStr">
        <is>
          <t>Part 5 annual income (5.609)</t>
        </is>
      </c>
      <c r="W11" s="23" t="inlineStr">
        <is>
          <t>Mandatory</t>
        </is>
      </c>
      <c r="X11" s="23" t="inlineStr">
        <is>
          <t>Counted</t>
        </is>
      </c>
      <c r="Y11" s="23" t="inlineStr">
        <is>
          <t>Counted</t>
        </is>
      </c>
      <c r="Z11" s="23">
        <f>IF(X11="","",IF(X11="Excluded","Consistent",IF(X11="Counted","Inconsistent",IF(X11="Varies (grantee/agency choice)","Partly inconsistent",IF(X11="Not applicable","Not applicable","Needs check")))))</f>
        <v/>
      </c>
      <c r="AA11" s="23" t="inlineStr">
        <is>
          <t>576.401(c) requires recipients to use 5.609 when calculating annual income. Homelessness prevention requires income below 30% AMI at intake (576.103); prevention and rapid re-housing participants must stay at or below 30% AMI at re-evaluation (576.401(b)). VA compensation counts toward those tests.</t>
        </is>
      </c>
      <c r="AB11" s="23" t="inlineStr">
        <is>
          <t>Same Part 5 borrowing as CoC; ESG's 30% AMI test targets scarce prevention funds.</t>
        </is>
      </c>
      <c r="AC11" s="23" t="inlineStr">
        <is>
          <t>Emergency shelter and street outreach have no income test. Participant rent share is set by the recipient's written standards; where it is income-based, 5.609 applies.</t>
        </is>
      </c>
      <c r="AD11" s="23" t="inlineStr">
        <is>
          <t>Verified — primary source</t>
        </is>
      </c>
    </row>
    <row r="12" ht="152.25" customHeight="1">
      <c r="A12" s="18" t="n">
        <v>20</v>
      </c>
      <c r="B12" s="19" t="inlineStr">
        <is>
          <t>HOME Investment Partnerships</t>
        </is>
      </c>
      <c r="C12" s="20" t="inlineStr">
        <is>
          <t>Home Investment Partnerships Program</t>
        </is>
      </c>
      <c r="D12" s="19" t="inlineStr">
        <is>
          <t>Community Planning and Development (CPD)</t>
        </is>
      </c>
      <c r="E12" s="20" t="inlineStr">
        <is>
          <t>Assistant Secretary for Community Planning and Development</t>
        </is>
      </c>
      <c r="F12" s="19" t="inlineStr">
        <is>
          <t>Grants to States, units of general local government, consortia, and insular areas (“participating jurisdictions”) to implement local housing strategies to increase affordable housing opportunities for low- and very low-income families.</t>
        </is>
      </c>
      <c r="G12" s="19" t="inlineStr">
        <is>
          <t>Title II of the Cranston-Gonzalez National Affordable Housing Act (42 U.S.C. 12721, et seq.).</t>
        </is>
      </c>
      <c r="H12" s="19" t="inlineStr">
        <is>
          <t>Regulations are at 24 CFR part 92 and consolidated plan regulations are at 24 CFR part 91.</t>
        </is>
      </c>
      <c r="I12" s="21" t="inlineStr">
        <is>
          <t>https://www.hud.gov/program_offices/comm_planning/home</t>
        </is>
      </c>
      <c r="J12" s="20" t="inlineStr">
        <is>
          <t>14.239</t>
        </is>
      </c>
      <c r="K12" s="20" t="inlineStr">
        <is>
          <t>(HOME Program)</t>
        </is>
      </c>
      <c r="L12" s="20" t="inlineStr">
        <is>
          <t>To expand the supply of affordable housing, particularly rental housing, for low and very low income Americans;  to strengthen the abilities of State and local governments to design and implement strategies for achieving adequate supplies of decent, affordable housing; and  to extend and strengthen partnerships among all levels of government and the private sector, including for-profit and nonprofit organizations, in the production and operation of affordable housing.</t>
        </is>
      </c>
      <c r="M12" s="20" t="inlineStr">
        <is>
          <t>Formula Grants,Project Grants</t>
        </is>
      </c>
      <c r="N12" s="20" t="inlineStr">
        <is>
          <t>Individual/Family,Native American Organizations,Specialized group (e.g. health professionals, students, veterans)</t>
        </is>
      </c>
      <c r="O12" s="20" t="inlineStr">
        <is>
          <t>Federally Recognized lndian Tribal Governments,Local (includes State-designated lndian Tribes, excludes institutions of higher education and hospitals,State (includes District of Columbia, public institutions of higher education and hospitals)</t>
        </is>
      </c>
      <c r="P12" s="22" t="n">
        <v>0</v>
      </c>
      <c r="Q12" s="22" t="n">
        <v>1150692594.12</v>
      </c>
      <c r="R12" s="22" t="n">
        <v>1958274035.33</v>
      </c>
      <c r="S12" s="23" t="inlineStr">
        <is>
          <t>Household income test</t>
        </is>
      </c>
      <c r="T12" s="23" t="inlineStr">
        <is>
          <t>HOME / Housing Trust Fund</t>
        </is>
      </c>
      <c r="U12" s="23" t="inlineStr">
        <is>
          <t>Cranston-Gonzalez NAHA Title II (42 U.S.C. 12701 et seq.); 24 CFR 92.203</t>
        </is>
      </c>
      <c r="V12" s="23" t="inlineStr">
        <is>
          <t>Part 5 annual income or IRS 1040 AGI (Census option removed in 2013)</t>
        </is>
      </c>
      <c r="W12" s="23" t="inlineStr">
        <is>
          <t>Grantee menu</t>
        </is>
      </c>
      <c r="X12" s="23" t="inlineStr">
        <is>
          <t>Varies (grantee/agency choice)</t>
        </is>
      </c>
      <c r="Y12" s="23" t="inlineStr">
        <is>
          <t>Varies (grantee/agency choice)</t>
        </is>
      </c>
      <c r="Z12" s="23">
        <f>IF(X12="","",IF(X12="Excluded","Consistent",IF(X12="Counted","Inconsistent",IF(X12="Varies (grantee/agency choice)","Partly inconsistent",IF(X12="Not applicable","Not applicable","Needs check")))))</f>
        <v/>
      </c>
      <c r="AA12" s="23" t="inlineStr">
        <is>
          <t>92.203(c) lets the participating jurisdiction use 5.609 annual income (VA compensation counted) or IRS Form 1040 AGI (VA compensation excluded because it is non-taxable).</t>
        </is>
      </c>
      <c r="AB12" s="23" t="inlineStr">
        <is>
          <t>The statute sets income limits but leaves the definition to HUD; the menu eases administration where tax returns are on hand (homebuyer, owner-occupied rehab).</t>
        </is>
      </c>
      <c r="AC12" s="23" t="inlineStr">
        <is>
          <t>HOME rents are mostly fixed HOME rent limits; household adjusted income matters for tenant-based rental assistance and some low-HOME-rent units (rent mechanics not verified). State PJs often mandate Part 5 to align with LIHTC. No national data on which definition PJs choose.</t>
        </is>
      </c>
      <c r="AD12" s="23" t="inlineStr">
        <is>
          <t>Partly verified</t>
        </is>
      </c>
    </row>
    <row r="13" ht="98.25" customHeight="1">
      <c r="A13" s="18" t="n">
        <v>22</v>
      </c>
      <c r="B13" s="19" t="inlineStr">
        <is>
          <t>Housing Opportunities for Persons with AIDS (HOPWA)</t>
        </is>
      </c>
      <c r="C13" s="20" t="inlineStr">
        <is>
          <t>Housing Opportunities for Persons with AIDS</t>
        </is>
      </c>
      <c r="D13" s="19" t="inlineStr">
        <is>
          <t>Community Planning and Development (CPD)</t>
        </is>
      </c>
      <c r="E13" s="20" t="inlineStr">
        <is>
          <t>Assistant Secretary for Community Planning and Development</t>
        </is>
      </c>
      <c r="F13" s="19" t="inlineStr">
        <is>
          <t>Formula grants and competitively awarded grants to provide housing assistance and related supportive services to meet the housing needs of low-income persons living with HIV/AIDS and their families.</t>
        </is>
      </c>
      <c r="G13" s="19" t="inlineStr">
        <is>
          <t>The AIDS Housing Opportunity Act, Subtitle D of Title VIII of the CranstonGonzalez National Affordable Housing Act (42 U.S.C. 12901, et seq.).</t>
        </is>
      </c>
      <c r="H13" s="19" t="inlineStr">
        <is>
          <t>Regulations are at 24 CFR part 574.</t>
        </is>
      </c>
      <c r="I13" s="21" t="inlineStr">
        <is>
          <t>https://www.hud.gov/program_offices/comm_planning/hopwa</t>
        </is>
      </c>
      <c r="J13" s="20" t="inlineStr">
        <is>
          <t>14.241</t>
        </is>
      </c>
      <c r="K13" s="20" t="inlineStr">
        <is>
          <t>HOPWA</t>
        </is>
      </c>
      <c r="L13" s="20" t="inlineStr">
        <is>
          <t>To provide States, units of local government, or nonprofit organizations with the resources and incentives to devise long-term comprehensive strategies for meeting the supportive housing needs of low-income persons and their families living with HIV/AIDS in order to promote positive health outcomes, prevent homelessness, and sustain housing stability for HOPWA program beneficiaries.</t>
        </is>
      </c>
      <c r="M13" s="20" t="inlineStr">
        <is>
          <t>Formula Grants,Project Grants</t>
        </is>
      </c>
      <c r="N13" s="20" t="inlineStr">
        <is>
          <t>Anyone/general public,Disabled (e.g. Deaf, Blind, Physically Disabled),Individual/Family,Low Income</t>
        </is>
      </c>
      <c r="O13" s="20" t="inlineStr">
        <is>
          <t>City or Township Government,Government - General,Nonprofit with 501C3 IRS Status (Other than Institution of Higher Education),State,U.S. Territories and possessions</t>
        </is>
      </c>
      <c r="P13" s="22" t="n">
        <v>0</v>
      </c>
      <c r="Q13" s="22" t="n">
        <v>449419079.75</v>
      </c>
      <c r="R13" s="22" t="n">
        <v>635860553.59</v>
      </c>
      <c r="S13" s="23" t="inlineStr">
        <is>
          <t>Household income test</t>
        </is>
      </c>
      <c r="T13" s="23" t="inlineStr">
        <is>
          <t>McKinney-Vento / AIDS Housing Opportunity Act</t>
        </is>
      </c>
      <c r="U13" s="23" t="inlineStr">
        <is>
          <t>AIDS Housing Opportunity Act (42 U.S.C. 12901 et seq.; low-income ≤80% AMI per §853(3)); 24 CFR 574.310(d)–(e)</t>
        </is>
      </c>
      <c r="V13" s="23" t="inlineStr">
        <is>
          <t>Part 5 annual/adjusted income (5.609, 5.611)</t>
        </is>
      </c>
      <c r="W13" s="23" t="inlineStr">
        <is>
          <t>Mandatory</t>
        </is>
      </c>
      <c r="X13" s="23" t="inlineStr">
        <is>
          <t>Counted</t>
        </is>
      </c>
      <c r="Y13" s="23" t="inlineStr">
        <is>
          <t>Counted</t>
        </is>
      </c>
      <c r="Z13" s="23">
        <f>IF(X13="","",IF(X13="Excluded","Consistent",IF(X13="Counted","Inconsistent",IF(X13="Varies (grantee/agency choice)","Partly inconsistent",IF(X13="Not applicable","Not applicable","Needs check")))))</f>
        <v/>
      </c>
      <c r="AA13" s="23" t="inlineStr">
        <is>
          <t>574.310(e) requires monthly income and adjusted income to be calculated under 5.609 and 5.611; resident rent is the higher of 30% of adjusted income or 10% of income (574.310(d)).</t>
        </is>
      </c>
      <c r="AB13" s="23" t="inlineStr">
        <is>
          <t>HOPWA sets ongoing resident rent like 1937 Act programs, so it borrows Part 5.</t>
        </is>
      </c>
      <c r="AC13" s="23" t="inlineStr">
        <is>
          <t>The research report says 574.310(f) lets grantees elect the IRS 1040 definition; that option was not found in the regulation text reviewed, so it is treated as unconfirmed. Eligibility income is assumed to use the same Part 5 calculation.</t>
        </is>
      </c>
      <c r="AD13" s="23" t="inlineStr">
        <is>
          <t>Partly verified</t>
        </is>
      </c>
    </row>
    <row r="14" ht="229.5" customHeight="1">
      <c r="A14" s="18" t="n">
        <v>23</v>
      </c>
      <c r="B14" s="19" t="inlineStr">
        <is>
          <t>Housing Trust Fund</t>
        </is>
      </c>
      <c r="C14" s="20" t="inlineStr">
        <is>
          <t>Housing Trust Fund</t>
        </is>
      </c>
      <c r="D14" s="19" t="inlineStr">
        <is>
          <t>Community Planning and Development (CPD)</t>
        </is>
      </c>
      <c r="E14" s="20" t="inlineStr">
        <is>
          <t>Assistant Secretary for Community Planning and Development</t>
        </is>
      </c>
      <c r="F14" s="19" t="inlineStr">
        <is>
          <t>Provides funds to States, State-designated entities, and insular areas for the construction, rehabilitation, and preservation of rental homes and for homeownership for extremely low- and very low-income families, including homeless families. Nature of the Program: The Housing Trust Fund (HTF) provides funding to construct, rehabilitate, and preserve permanent rental and homeownership housing, primarily for extremely low-income families. At least 80 percent of the funds must be used for the production, preservation, rehabilitation, or operation of rental housing. Up to 10 percent can be used for the following homeownership activities for first-time homebuyers: production, preservation, and rehabilitation; down payment assistance, closing cost assistance, and assistance for interest rate buy-downs. Up to 10 percent may be used for reasonable administrative and planning costs. In any fiscal year with an aggregate formula allocation under $1 billion, 100 percent of the grant funds must benefit extremely low-income families or families with incomes at or below the poverty line, whichever is greater. In any fiscal year with an aggregate formula allocation over $1 billion, at least 75 percent of grant funds must benefit extremely low-income families, and the remainder must benefit very low-income families. Eligible activities and expenses include real property acquisition, site improvements and development hard costs, related soft costs, demolition, financing costs, and relocation costs. HTF-assisted rental housing units must have a minimum affordability period of 30 years. The affordability period for homeownership housing ranges from 10 to 30 years, depending on the amount of per-unit homeownership assistance.</t>
        </is>
      </c>
      <c r="G14" s="19" t="inlineStr">
        <is>
          <t>Section 1338 of the Federal Housing Enterprises Financial Safety and Soundness Act of 1992 as amended (12 U.S.C. 4568).</t>
        </is>
      </c>
      <c r="H14" s="19" t="inlineStr">
        <is>
          <t>Regulations are at 24 CFR part 93 and consolidated plan regulations are at 24 CFR part 91.</t>
        </is>
      </c>
      <c r="I14" s="21" t="inlineStr">
        <is>
          <t>https://www.hud.gov/program_offices/comm_planning/htf</t>
        </is>
      </c>
      <c r="J14" s="20" t="inlineStr">
        <is>
          <t>14.275</t>
        </is>
      </c>
      <c r="K14" s="20" t="inlineStr">
        <is>
          <t>Housing Trust Fund</t>
        </is>
      </c>
      <c r="L14" s="20" t="inlineStr">
        <is>
          <t>To expand and preserve the supply of affordable housing, particularly rental housing, for extremely low-income and very low income households.</t>
        </is>
      </c>
      <c r="M14" s="20" t="inlineStr">
        <is>
          <t>Formula Grants</t>
        </is>
      </c>
      <c r="N14" s="20" t="inlineStr">
        <is>
          <t>State</t>
        </is>
      </c>
      <c r="O14" s="20" t="inlineStr">
        <is>
          <t>State</t>
        </is>
      </c>
      <c r="P14" s="22" t="n">
        <v>0</v>
      </c>
      <c r="Q14" s="22" t="n">
        <v>205581716.74</v>
      </c>
      <c r="R14" s="22" t="n">
        <v>686556608.11</v>
      </c>
      <c r="S14" s="23" t="inlineStr">
        <is>
          <t>Household income test</t>
        </is>
      </c>
      <c r="T14" s="23" t="inlineStr">
        <is>
          <t>HOME / Housing Trust Fund</t>
        </is>
      </c>
      <c r="U14" s="23" t="inlineStr">
        <is>
          <t>HERA 2008 (12 U.S.C. 4568); 24 CFR 93.151</t>
        </is>
      </c>
      <c r="V14" s="23" t="inlineStr">
        <is>
          <t>Part 5 annual income or IRS 1040 AGI</t>
        </is>
      </c>
      <c r="W14" s="23" t="inlineStr">
        <is>
          <t>Grantee menu</t>
        </is>
      </c>
      <c r="X14" s="23" t="inlineStr">
        <is>
          <t>Varies (grantee/agency choice)</t>
        </is>
      </c>
      <c r="Y14" s="23" t="inlineStr">
        <is>
          <t>Not applicable</t>
        </is>
      </c>
      <c r="Z14" s="23">
        <f>IF(X14="","",IF(X14="Excluded","Consistent",IF(X14="Counted","Inconsistent",IF(X14="Varies (grantee/agency choice)","Partly inconsistent",IF(X14="Not applicable","Not applicable","Needs check")))))</f>
        <v/>
      </c>
      <c r="AA14" s="23" t="inlineStr">
        <is>
          <t>93.151 lets the grantee use 5.609 (VA compensation counted) or IRS 1040 AGI (excluded), one definition per program/project; projects with public housing, tenant-based, or project-based rental assistance must use 5.609.</t>
        </is>
      </c>
      <c r="AB14" s="23" t="inlineStr">
        <is>
          <t>Same rationale as HOME: statute sets income limits, HUD offers a two-option menu.</t>
        </is>
      </c>
      <c r="AC14" s="23" t="inlineStr">
        <is>
          <t>HTF rents are unit-based limits (93.302) rather than a share of the tenant's own income, so rent is marked N/A (Claude's reading, not verified).</t>
        </is>
      </c>
      <c r="AD14" s="23" t="inlineStr">
        <is>
          <t>Partly verified</t>
        </is>
      </c>
    </row>
    <row r="15" ht="165.75" customHeight="1">
      <c r="A15" s="18" t="n">
        <v>24</v>
      </c>
      <c r="B15" s="19" t="inlineStr">
        <is>
          <t>Rural Capacity Building for Community Development and Affordable Housing Grants Program</t>
        </is>
      </c>
      <c r="C15" s="20" t="inlineStr">
        <is>
          <t>Rural Capacity Building for Community Development and Affordable Housing Grants</t>
        </is>
      </c>
      <c r="D15" s="19" t="inlineStr">
        <is>
          <t>Community Planning and Development (CPD)</t>
        </is>
      </c>
      <c r="E15" s="20" t="inlineStr">
        <is>
          <t>Assistant Secretary for Community Planning and Development</t>
        </is>
      </c>
      <c r="F15" s="19" t="inlineStr">
        <is>
          <t>Program Grants to national organization intermediaries for rural housing development organizations, community development corporations (CDCs), community housing development organizations (CHDOs), local governments, and Indian tribes to carry out community development and affordable housing activities that benefit low- and moderate-income families and persons in rural areas.</t>
        </is>
      </c>
      <c r="G15" s="19" t="inlineStr">
        <is>
          <t>Consolidated Appropriations Act, 2023 (Public Law 117-328, approved December 29, 2022).</t>
        </is>
      </c>
      <c r="H15" s="19" t="n"/>
      <c r="I15" s="21" t="inlineStr">
        <is>
          <t>https://www.hudexchange.info/programs/rural-capacity-building/</t>
        </is>
      </c>
      <c r="J15" s="20" t="inlineStr">
        <is>
          <t>14.265</t>
        </is>
      </c>
      <c r="K15" s="20" t="inlineStr">
        <is>
          <t>Rural Capacity Building Program</t>
        </is>
      </c>
      <c r="L15" s="20" t="inlineStr">
        <is>
          <t>The Rural Capacity Building program enhances the capacity and ability of rural housing development organizations, Community Development Corporations (CDCs), Community Housing Development Organizations (CHDOs), local governments, and Indian tribes (eligible beneficiaries) to carry out affordable housing and community development activities in rural areas for the benefit of low- and moderate-income families and persons. The Rural Capacity Building program achieves this by funding National Organizations with expertise in rural housing and rural community development who work directly to build the capacity of eligible beneficiaries.</t>
        </is>
      </c>
      <c r="M15" s="20" t="inlineStr">
        <is>
          <t>Project Grants</t>
        </is>
      </c>
      <c r="N15" s="20" t="inlineStr">
        <is>
          <t>Federally Recognized Indian Tribal Governments,Local,Private nonprofit institution/organization</t>
        </is>
      </c>
      <c r="O15" s="20" t="inlineStr">
        <is>
          <t>Other private institutions/organizations</t>
        </is>
      </c>
      <c r="P15" s="22" t="n">
        <v>0</v>
      </c>
      <c r="Q15" s="22" t="n">
        <v>0</v>
      </c>
      <c r="R15" s="22" t="n">
        <v>9231410.43</v>
      </c>
      <c r="S15" s="23" t="inlineStr">
        <is>
          <t>Not income-tested</t>
        </is>
      </c>
      <c r="T15" s="23" t="inlineStr">
        <is>
          <t>Other statutes &amp; appropriations</t>
        </is>
      </c>
      <c r="U15" s="23" t="inlineStr">
        <is>
          <t>—</t>
        </is>
      </c>
      <c r="V15" s="23" t="inlineStr">
        <is>
          <t>N/A</t>
        </is>
      </c>
      <c r="W15" s="23" t="inlineStr">
        <is>
          <t>N/A</t>
        </is>
      </c>
      <c r="X15" s="23" t="inlineStr">
        <is>
          <t>Not applicable</t>
        </is>
      </c>
      <c r="Y15" s="23" t="inlineStr">
        <is>
          <t>Not applicable</t>
        </is>
      </c>
      <c r="Z15" s="23">
        <f>IF(X15="","",IF(X15="Excluded","Consistent",IF(X15="Counted","Inconsistent",IF(X15="Varies (grantee/agency choice)","Partly inconsistent",IF(X15="Not applicable","Not applicable","Needs check")))))</f>
        <v/>
      </c>
      <c r="AA15" s="23" t="inlineStr">
        <is>
          <t>No household income eligibility test: grants to intermediaries for rural capacity building.</t>
        </is>
      </c>
      <c r="AB15" s="23" t="inlineStr">
        <is>
          <t>Not a means-tested household benefit.</t>
        </is>
      </c>
      <c r="AC15" s="23" t="n"/>
      <c r="AD15" s="23" t="inlineStr">
        <is>
          <t>Not verified — low risk (not income-tested)</t>
        </is>
      </c>
    </row>
    <row r="16" ht="71.25" customHeight="1">
      <c r="A16" s="18" t="n">
        <v>25</v>
      </c>
      <c r="B16" s="19" t="inlineStr">
        <is>
          <t>Self-Help Homeownership Opportunity Program (SHOP)</t>
        </is>
      </c>
      <c r="C16" s="20" t="inlineStr">
        <is>
          <t>Self-Help Homeownership Opportunity Program</t>
        </is>
      </c>
      <c r="D16" s="19" t="inlineStr">
        <is>
          <t>Community Planning and Development (CPD)</t>
        </is>
      </c>
      <c r="E16" s="20" t="inlineStr">
        <is>
          <t>Assistant Secretary for Community Planning and Development</t>
        </is>
      </c>
      <c r="F16" s="19" t="inlineStr">
        <is>
          <t>Grants to national and regional nonprofits to fund opportunities for self-help homeownership housing.</t>
        </is>
      </c>
      <c r="G16" s="19" t="inlineStr">
        <is>
          <t>Section 11 of the Housing Opportunity Program Extension Act of 1996 (42 U.S.C. 12805 note).</t>
        </is>
      </c>
      <c r="H16" s="19" t="n"/>
      <c r="I16" s="21" t="inlineStr">
        <is>
          <t>https://www.hud.gov/program_offices/comm_planning/shop</t>
        </is>
      </c>
      <c r="J16" s="20" t="inlineStr">
        <is>
          <t>14.247</t>
        </is>
      </c>
      <c r="K16" s="20" t="inlineStr">
        <is>
          <t>Self-Help Homeownership Opportunity Program (SHOP)</t>
        </is>
      </c>
      <c r="L16" s="20" t="inlineStr">
        <is>
          <t>To facilitate and encourage innovative homeownership opportunities through the provision of self-help homeownership in which  the homebuyer contributes a significant amount of sweat equity toward the development of the SHOP units.</t>
        </is>
      </c>
      <c r="M16" s="20" t="inlineStr">
        <is>
          <t>Project Grants</t>
        </is>
      </c>
      <c r="N16" s="20" t="inlineStr">
        <is>
          <t>Consumer,Homeowner,Individual/Family,Land/Property Owner,Low Income,Minority group,Moderate Income</t>
        </is>
      </c>
      <c r="O16" s="20" t="inlineStr">
        <is>
          <t>Specialized group (e.g. health professionals, students, veterans)</t>
        </is>
      </c>
      <c r="P16" s="22" t="n">
        <v>0</v>
      </c>
      <c r="Q16" s="22" t="n">
        <v>26000000</v>
      </c>
      <c r="R16" s="22" t="n">
        <v>-47128.31</v>
      </c>
      <c r="S16" s="23" t="inlineStr">
        <is>
          <t>Household income test</t>
        </is>
      </c>
      <c r="T16" s="23" t="inlineStr">
        <is>
          <t>Other statutes &amp; appropriations</t>
        </is>
      </c>
      <c r="U16" s="23" t="inlineStr">
        <is>
          <t>Housing Opportunity Program Extension Act of 1996 §11 (42 U.S.C. 12805 note); NOFO</t>
        </is>
      </c>
      <c r="V16" s="23" t="inlineStr">
        <is>
          <t>Not set by regulation; defined in the NOFO</t>
        </is>
      </c>
      <c r="W16" s="23" t="inlineStr">
        <is>
          <t>N/A</t>
        </is>
      </c>
      <c r="X16" s="23" t="inlineStr">
        <is>
          <t>Unclear / needs check</t>
        </is>
      </c>
      <c r="Y16" s="23" t="inlineStr">
        <is>
          <t>Not applicable</t>
        </is>
      </c>
      <c r="Z16" s="23">
        <f>IF(X16="","",IF(X16="Excluded","Consistent",IF(X16="Counted","Inconsistent",IF(X16="Varies (grantee/agency choice)","Partly inconsistent",IF(X16="Not applicable","Not applicable","Needs check")))))</f>
        <v/>
      </c>
      <c r="AA16" s="23" t="inlineStr">
        <is>
          <t>SHOP homebuyers must be low-income (≤80% AMI); the income definition used for that determination was not found.</t>
        </is>
      </c>
      <c r="AB16" s="23" t="inlineStr">
        <is>
          <t>Program-specific statute sets the income limit; NOFO sets mechanics.</t>
        </is>
      </c>
      <c r="AC16" s="23" t="inlineStr">
        <is>
          <t>Check the SHOP NOFO / grant agreement for the income definition.</t>
        </is>
      </c>
      <c r="AD16" s="23" t="inlineStr">
        <is>
          <t>Not verified — needs check</t>
        </is>
      </c>
    </row>
    <row r="17" ht="111.75" customHeight="1">
      <c r="A17" s="18" t="n">
        <v>27</v>
      </c>
      <c r="B17" s="19" t="inlineStr">
        <is>
          <t>Good Neighbor Next Door Sales Program (GNND)</t>
        </is>
      </c>
      <c r="C17" s="20" t="inlineStr">
        <is>
          <t>Good Neighbor Next Door Sales Program</t>
        </is>
      </c>
      <c r="D17" s="19" t="inlineStr">
        <is>
          <t>Office of Housing — Single Family Housing Programs</t>
        </is>
      </c>
      <c r="E17" s="20" t="inlineStr">
        <is>
          <t>Assistant Secretary for Housing -- Federal Housing Commissioner</t>
        </is>
      </c>
      <c r="F17" s="19" t="inlineStr">
        <is>
          <t>Provides eligible law enforcement officers, teachers (pre-Kindergarten through 12th grade), firefighters, and emergency medical technicians with the opportunity to purchase and live in homes located in revitalization areas at a fifty percent discount off the list price of eligible properties.</t>
        </is>
      </c>
      <c r="G17" s="19" t="inlineStr">
        <is>
          <t>Section 204 of the National Housing Act (12 U.S.C. 1710).</t>
        </is>
      </c>
      <c r="H17" s="19" t="inlineStr">
        <is>
          <t>Regulations are at 24 CFR part 291, subpart F.</t>
        </is>
      </c>
      <c r="I17" s="21" t="inlineStr">
        <is>
          <t>https://www.hud.gov/program_offices/housing/sfh/reo/goodn/gnndabot</t>
        </is>
      </c>
      <c r="J17" s="20" t="inlineStr">
        <is>
          <t>14.198</t>
        </is>
      </c>
      <c r="K17" s="20" t="inlineStr">
        <is>
          <t>GNND</t>
        </is>
      </c>
      <c r="L17" s="20" t="inlineStr">
        <is>
          <t>The purpose of the Good Neighbor Next Door Sales Program is to improve the quality of life in distressed urban communities. This is to be accomplished by encouraging law enforcement officers, teachers, firefighters, and emergency medical technicians, 
to purchase and live in homes that are located in the same communities where they perform their daily responsibilities and duties.</t>
        </is>
      </c>
      <c r="M17" s="20" t="inlineStr">
        <is>
          <t>Sale, Exchange, or Donation of Property or Goods</t>
        </is>
      </c>
      <c r="N17" s="20" t="inlineStr">
        <is>
          <t>Anyone/general public,Specialized group (e.g. health professionals, students, veterans)</t>
        </is>
      </c>
      <c r="O17" s="20" t="inlineStr">
        <is>
          <t>Specialized group (e.g. health professionals, students, veterans)</t>
        </is>
      </c>
      <c r="P17" s="22" t="n">
        <v>0</v>
      </c>
      <c r="Q17" s="22" t="n">
        <v>0</v>
      </c>
      <c r="R17" s="22" t="n">
        <v>0</v>
      </c>
      <c r="S17" s="23" t="inlineStr">
        <is>
          <t>Not income-tested</t>
        </is>
      </c>
      <c r="T17" s="23" t="inlineStr">
        <is>
          <t>National Housing Act (FHA &amp; mortgage insurance)</t>
        </is>
      </c>
      <c r="U17" s="23" t="inlineStr">
        <is>
          <t>National Housing Act §204(h)</t>
        </is>
      </c>
      <c r="V17" s="23" t="inlineStr">
        <is>
          <t>N/A</t>
        </is>
      </c>
      <c r="W17" s="23" t="inlineStr">
        <is>
          <t>N/A</t>
        </is>
      </c>
      <c r="X17" s="23" t="inlineStr">
        <is>
          <t>Not applicable</t>
        </is>
      </c>
      <c r="Y17" s="23" t="inlineStr">
        <is>
          <t>Not applicable</t>
        </is>
      </c>
      <c r="Z17" s="23">
        <f>IF(X17="","",IF(X17="Excluded","Consistent",IF(X17="Counted","Inconsistent",IF(X17="Varies (grantee/agency choice)","Partly inconsistent",IF(X17="Not applicable","Not applicable","Needs check")))))</f>
        <v/>
      </c>
      <c r="AA17" s="23" t="inlineStr">
        <is>
          <t>No household income eligibility test: eligibility is by occupation (law enforcement, teachers, firefighters, EMTs), not income.</t>
        </is>
      </c>
      <c r="AB17" s="23" t="inlineStr">
        <is>
          <t>Not a means-tested household benefit.</t>
        </is>
      </c>
      <c r="AC17" s="23" t="n"/>
      <c r="AD17" s="23" t="inlineStr">
        <is>
          <t>Not verified — low risk (not income-tested)</t>
        </is>
      </c>
    </row>
    <row r="18" ht="98.25" customHeight="1">
      <c r="A18" s="18" t="n">
        <v>28</v>
      </c>
      <c r="B18" s="19" t="inlineStr">
        <is>
          <t>Home Equity Conversion Mortgage (HECM) (Section 255)</t>
        </is>
      </c>
      <c r="C18" s="20" t="inlineStr">
        <is>
          <t>Home Equity Conversion Mortgages</t>
        </is>
      </c>
      <c r="D18" s="19" t="inlineStr">
        <is>
          <t>Office of Housing — Single Family Housing Programs</t>
        </is>
      </c>
      <c r="E18" s="20" t="inlineStr">
        <is>
          <t>Assistant Secretary for Housing -- Federal Housing Commissioner</t>
        </is>
      </c>
      <c r="F18" s="19" t="inlineStr">
        <is>
          <t>Mortgage insurance for reverse mortgages that provide borrowers who are at least 62 years old the ability to convert some of the equity in their primary residences into fixed interest rate mortgages with a single disbursement lump sum payment or adjustable interest rate mortgages with monthly streams of income or lines of credit, or a combination of both.</t>
        </is>
      </c>
      <c r="G18" s="19" t="inlineStr">
        <is>
          <t>Section 255 of the National Housing Act (12 U.S.C. 1715z-20).</t>
        </is>
      </c>
      <c r="H18" s="19" t="inlineStr">
        <is>
          <t>Regulations are at 24 CFR part 206.</t>
        </is>
      </c>
      <c r="I18" s="21" t="inlineStr">
        <is>
          <t>https://www.hud.gov/program_offices/housing/sfh/hecm/hecmabou</t>
        </is>
      </c>
      <c r="J18" s="20" t="inlineStr">
        <is>
          <t>14.183</t>
        </is>
      </c>
      <c r="K18" s="20" t="inlineStr">
        <is>
          <t>Reverse Mortgage Insurance</t>
        </is>
      </c>
      <c r="L18" s="20" t="inlineStr">
        <is>
          <t>To enable elderly homeowners to convert equity in their homes to monthly streams of income or lines of credit.</t>
        </is>
      </c>
      <c r="M18" s="20" t="inlineStr">
        <is>
          <t>Guaranteed / Insured Loans</t>
        </is>
      </c>
      <c r="N18" s="20" t="inlineStr">
        <is>
          <t>Individual/Family</t>
        </is>
      </c>
      <c r="O18" s="20" t="inlineStr">
        <is>
          <t>Individual/Family,Specialized group (e.g. health professionals, students, veterans)</t>
        </is>
      </c>
      <c r="P18" s="22" t="n">
        <v>0</v>
      </c>
      <c r="Q18" s="22" t="n">
        <v>0</v>
      </c>
      <c r="R18" s="22" t="n">
        <v>0</v>
      </c>
      <c r="S18" s="23" t="inlineStr">
        <is>
          <t>Underwriting only</t>
        </is>
      </c>
      <c r="T18" s="23" t="inlineStr">
        <is>
          <t>National Housing Act (FHA &amp; mortgage insurance)</t>
        </is>
      </c>
      <c r="U18" s="23" t="inlineStr">
        <is>
          <t>National Housing Act (12 U.S.C. 1701 et seq.)</t>
        </is>
      </c>
      <c r="V18" s="23" t="inlineStr">
        <is>
          <t>N/A (credit underwriting, no income limit)</t>
        </is>
      </c>
      <c r="W18" s="23" t="inlineStr">
        <is>
          <t>N/A</t>
        </is>
      </c>
      <c r="X18" s="23" t="inlineStr">
        <is>
          <t>Not applicable</t>
        </is>
      </c>
      <c r="Y18" s="23" t="inlineStr">
        <is>
          <t>Not applicable</t>
        </is>
      </c>
      <c r="Z18" s="23">
        <f>IF(X18="","",IF(X18="Excluded","Consistent",IF(X18="Counted","Inconsistent",IF(X18="Varies (grantee/agency choice)","Partly inconsistent",IF(X18="Not applicable","Not applicable","Needs check")))))</f>
        <v/>
      </c>
      <c r="AA18" s="23" t="inlineStr">
        <is>
          <t>No HUD low-income eligibility test. Borrower income is assessed only for ability to repay under FHA underwriting.</t>
        </is>
      </c>
      <c r="AB18" s="23" t="inlineStr">
        <is>
          <t>Mortgage insurance/credit programs test repayment capacity, not need.</t>
        </is>
      </c>
      <c r="AC18" s="23" t="inlineStr">
        <is>
          <t>HECM uses a financial assessment of willingness/capacity to pay property charges, not an income limit. Claude's understanding; not verified.</t>
        </is>
      </c>
      <c r="AD18" s="23" t="inlineStr">
        <is>
          <t>Not verified — low risk (not income-tested)</t>
        </is>
      </c>
    </row>
    <row r="19" ht="125.25" customHeight="1">
      <c r="A19" s="18" t="n">
        <v>29</v>
      </c>
      <c r="B19" s="19" t="inlineStr">
        <is>
          <t>Insurance for Adjustable Rate Mortgages (ARMs) (Section 251)</t>
        </is>
      </c>
      <c r="C19" s="20" t="inlineStr">
        <is>
          <t>Adjustable Rate Mortgages</t>
        </is>
      </c>
      <c r="D19" s="19" t="inlineStr">
        <is>
          <t>Office of Housing — Single Family Housing Programs</t>
        </is>
      </c>
      <c r="E19" s="20" t="inlineStr">
        <is>
          <t>Assistant Secretary for Housing -- Federal Housing Commissioner</t>
        </is>
      </c>
      <c r="F19" s="19" t="inlineStr">
        <is>
          <t>Mortgage insurance for adjustable rate forward mortgages (ARMs).</t>
        </is>
      </c>
      <c r="G19" s="19" t="inlineStr">
        <is>
          <t>Section 251 of the National Housing Act (12 U.S.C. 1715z-16).</t>
        </is>
      </c>
      <c r="H19" s="19" t="inlineStr">
        <is>
          <t>Regulations are at 24 CFR 203.49.</t>
        </is>
      </c>
      <c r="I19" s="21" t="inlineStr">
        <is>
          <t>https://www.hud.gov/program_offices/housing/sfh/ins/251--df</t>
        </is>
      </c>
      <c r="J19" s="20" t="inlineStr">
        <is>
          <t>14.175</t>
        </is>
      </c>
      <c r="K19" s="20" t="inlineStr">
        <is>
          <t>Home Mortgage Insurance- Adjustable Rate Mortgages</t>
        </is>
      </c>
      <c r="L19" s="20" t="inlineStr">
        <is>
          <t>To provide mortgage insurance for an adjustable rate mortgage which may offer a lower interest rate initially that a fixed rate mortgage, and which remains constant for an initial period of 1, 3, 5, 7 or 10 years.  The interest rate may then change annually for the remainder of the mortgage term.   The loan structure provides built-in limits or safeguards for both consumers and lenders, designed to minimize the effect of any rapid rise in interest rates.</t>
        </is>
      </c>
      <c r="M19" s="20" t="inlineStr">
        <is>
          <t>Guaranteed / Insured Loans</t>
        </is>
      </c>
      <c r="N19" s="20" t="inlineStr">
        <is>
          <t>Individual/Family</t>
        </is>
      </c>
      <c r="O19" s="20" t="inlineStr">
        <is>
          <t>Individual/Family</t>
        </is>
      </c>
      <c r="P19" s="22" t="n">
        <v>0</v>
      </c>
      <c r="Q19" s="22" t="n">
        <v>0</v>
      </c>
      <c r="R19" s="22" t="n">
        <v>0</v>
      </c>
      <c r="S19" s="23" t="inlineStr">
        <is>
          <t>Underwriting only</t>
        </is>
      </c>
      <c r="T19" s="23" t="inlineStr">
        <is>
          <t>National Housing Act (FHA &amp; mortgage insurance)</t>
        </is>
      </c>
      <c r="U19" s="23" t="inlineStr">
        <is>
          <t>National Housing Act (12 U.S.C. 1701 et seq.)</t>
        </is>
      </c>
      <c r="V19" s="23" t="inlineStr">
        <is>
          <t>N/A (credit underwriting, no income limit)</t>
        </is>
      </c>
      <c r="W19" s="23" t="inlineStr">
        <is>
          <t>N/A</t>
        </is>
      </c>
      <c r="X19" s="23" t="inlineStr">
        <is>
          <t>Not applicable</t>
        </is>
      </c>
      <c r="Y19" s="23" t="inlineStr">
        <is>
          <t>Not applicable</t>
        </is>
      </c>
      <c r="Z19" s="23">
        <f>IF(X19="","",IF(X19="Excluded","Consistent",IF(X19="Counted","Inconsistent",IF(X19="Varies (grantee/agency choice)","Partly inconsistent",IF(X19="Not applicable","Not applicable","Needs check")))))</f>
        <v/>
      </c>
      <c r="AA19" s="23" t="inlineStr">
        <is>
          <t>No HUD low-income eligibility test. Borrower income is assessed only for ability to repay under FHA underwriting.</t>
        </is>
      </c>
      <c r="AB19" s="23" t="inlineStr">
        <is>
          <t>Mortgage insurance/credit programs test repayment capacity, not need.</t>
        </is>
      </c>
      <c r="AC19" s="23" t="inlineStr">
        <is>
          <t>Claude's understanding (not verified): FHA underwriting (Handbook 4000.1) treats VA disability benefits as effective income and allows grossing up non-taxable income, which helps rather than hurts a veteran borrower.</t>
        </is>
      </c>
      <c r="AD19" s="23" t="inlineStr">
        <is>
          <t>Not verified — low risk (not income-tested)</t>
        </is>
      </c>
    </row>
    <row r="20" ht="57.75" customHeight="1">
      <c r="A20" s="18" t="n">
        <v>32</v>
      </c>
      <c r="B20" s="19" t="inlineStr">
        <is>
          <t>Manufactured Homes Loan Insurance (Title I)</t>
        </is>
      </c>
      <c r="C20" s="20" t="inlineStr">
        <is>
          <t>Manufactured Home Loan Insurance (Title I)</t>
        </is>
      </c>
      <c r="D20" s="19" t="inlineStr">
        <is>
          <t>Office of Housing — Single Family Housing Programs</t>
        </is>
      </c>
      <c r="E20" s="20" t="inlineStr">
        <is>
          <t>Assistant Secretary for Housing -- Federal Housing Commissioner</t>
        </is>
      </c>
      <c r="F20" s="19" t="inlineStr">
        <is>
          <t>Mortgage insurance for private lending institutions to finance the purchase or refinance of a new or existing manufactured home, a manufactured home lot, or a lot plus manufactured home.</t>
        </is>
      </c>
      <c r="G20" s="19" t="inlineStr">
        <is>
          <t>Section 2 of Title I of the National Housing Act (12 U.S.C. 1703).</t>
        </is>
      </c>
      <c r="H20" s="19" t="inlineStr">
        <is>
          <t>Regulations are at 24 CFR part 201.</t>
        </is>
      </c>
      <c r="I20" s="21" t="inlineStr">
        <is>
          <t>https://www.hud.gov/program_offices/housing/sfh/title/manuf14</t>
        </is>
      </c>
      <c r="J20" s="20" t="inlineStr">
        <is>
          <t>14.110</t>
        </is>
      </c>
      <c r="K20" s="20" t="inlineStr">
        <is>
          <t>Manufactured Home Loan Insurance (Title I)</t>
        </is>
      </c>
      <c r="L20" s="20" t="inlineStr">
        <is>
          <t>To help people purchase a manufactured home or refinance an existing manufactured home loan. mortgage.</t>
        </is>
      </c>
      <c r="M20" s="20" t="inlineStr">
        <is>
          <t>Sale, Exchange, or Donation of Property or Goods</t>
        </is>
      </c>
      <c r="N20" s="20" t="inlineStr">
        <is>
          <t>Anyone/general public,Individual/Family</t>
        </is>
      </c>
      <c r="O20" s="20" t="inlineStr">
        <is>
          <t>Individual/Family</t>
        </is>
      </c>
      <c r="P20" s="22" t="n">
        <v>0</v>
      </c>
      <c r="Q20" s="22" t="n">
        <v>0</v>
      </c>
      <c r="R20" s="22" t="n">
        <v>0</v>
      </c>
      <c r="S20" s="23" t="inlineStr">
        <is>
          <t>Underwriting only</t>
        </is>
      </c>
      <c r="T20" s="23" t="inlineStr">
        <is>
          <t>National Housing Act (FHA &amp; mortgage insurance)</t>
        </is>
      </c>
      <c r="U20" s="23" t="inlineStr">
        <is>
          <t>National Housing Act (12 U.S.C. 1701 et seq.)</t>
        </is>
      </c>
      <c r="V20" s="23" t="inlineStr">
        <is>
          <t>N/A (credit underwriting, no income limit)</t>
        </is>
      </c>
      <c r="W20" s="23" t="inlineStr">
        <is>
          <t>N/A</t>
        </is>
      </c>
      <c r="X20" s="23" t="inlineStr">
        <is>
          <t>Not applicable</t>
        </is>
      </c>
      <c r="Y20" s="23" t="inlineStr">
        <is>
          <t>Not applicable</t>
        </is>
      </c>
      <c r="Z20" s="23">
        <f>IF(X20="","",IF(X20="Excluded","Consistent",IF(X20="Counted","Inconsistent",IF(X20="Varies (grantee/agency choice)","Partly inconsistent",IF(X20="Not applicable","Not applicable","Needs check")))))</f>
        <v/>
      </c>
      <c r="AA20" s="23" t="inlineStr">
        <is>
          <t>No HUD low-income eligibility test. Borrower income is assessed only for ability to repay under FHA underwriting.</t>
        </is>
      </c>
      <c r="AB20" s="23" t="inlineStr">
        <is>
          <t>Mortgage insurance/credit programs test repayment capacity, not need.</t>
        </is>
      </c>
      <c r="AC20" s="23" t="inlineStr">
        <is>
          <t>Claude's understanding (not verified): FHA underwriting (Handbook 4000.1) treats VA disability benefits as effective income and allows grossing up non-taxable income, which helps rather than hurts a veteran borrower.</t>
        </is>
      </c>
      <c r="AD20" s="23" t="inlineStr">
        <is>
          <t>Not verified — low risk (not income-tested)</t>
        </is>
      </c>
    </row>
    <row r="21" ht="57.75" customHeight="1">
      <c r="A21" s="18" t="n">
        <v>32</v>
      </c>
      <c r="B21" s="19" t="inlineStr">
        <is>
          <t>Manufactured Homes Loan Insurance (Title I)</t>
        </is>
      </c>
      <c r="C21" s="20" t="inlineStr">
        <is>
          <t>Mortgage Insurance Combination and Manufactured Home Lot Loans</t>
        </is>
      </c>
      <c r="D21" s="19" t="inlineStr">
        <is>
          <t>Office of Housing — Single Family Housing Programs</t>
        </is>
      </c>
      <c r="E21" s="20" t="inlineStr">
        <is>
          <t>Assistant Secretary for Housing -- Federal Housing Commissioner</t>
        </is>
      </c>
      <c r="F21" s="19" t="inlineStr">
        <is>
          <t>Mortgage insurance for private lending institutions to finance the purchase or refinance of a new or existing manufactured home, a manufactured home lot, or a lot plus manufactured home.</t>
        </is>
      </c>
      <c r="G21" s="19" t="inlineStr">
        <is>
          <t>Section 2 of Title I of the National Housing Act (12 U.S.C. 1703).</t>
        </is>
      </c>
      <c r="H21" s="19" t="inlineStr">
        <is>
          <t>Regulations are at 24 CFR part 201.</t>
        </is>
      </c>
      <c r="I21" s="21" t="inlineStr">
        <is>
          <t>https://www.hud.gov/program_offices/housing/sfh/title/manuf14</t>
        </is>
      </c>
      <c r="J21" s="20" t="inlineStr">
        <is>
          <t>14.162</t>
        </is>
      </c>
      <c r="K21" s="20" t="inlineStr">
        <is>
          <t>Mortgage Insurance- Land and Manufactured Home or MH lot-(Title I)</t>
        </is>
      </c>
      <c r="L21" s="20" t="inlineStr">
        <is>
          <t>To make possible reasonable financing for the purchase of a manufactured home and/or a lot on which to place the home.</t>
        </is>
      </c>
      <c r="M21" s="20" t="inlineStr">
        <is>
          <t>Sale, Exchange, or Donation of Property or Goods</t>
        </is>
      </c>
      <c r="N21" s="20" t="inlineStr">
        <is>
          <t>Anyone/general public</t>
        </is>
      </c>
      <c r="O21" s="20" t="inlineStr">
        <is>
          <t>Individual/Family</t>
        </is>
      </c>
      <c r="P21" s="22" t="n">
        <v>0</v>
      </c>
      <c r="Q21" s="22" t="n">
        <v>0</v>
      </c>
      <c r="R21" s="22" t="n">
        <v>0</v>
      </c>
      <c r="S21" s="23" t="inlineStr">
        <is>
          <t>Underwriting only</t>
        </is>
      </c>
      <c r="T21" s="23" t="inlineStr">
        <is>
          <t>National Housing Act (FHA &amp; mortgage insurance)</t>
        </is>
      </c>
      <c r="U21" s="23" t="inlineStr">
        <is>
          <t>National Housing Act (12 U.S.C. 1701 et seq.)</t>
        </is>
      </c>
      <c r="V21" s="23" t="inlineStr">
        <is>
          <t>N/A (credit underwriting, no income limit)</t>
        </is>
      </c>
      <c r="W21" s="23" t="inlineStr">
        <is>
          <t>N/A</t>
        </is>
      </c>
      <c r="X21" s="23" t="inlineStr">
        <is>
          <t>Not applicable</t>
        </is>
      </c>
      <c r="Y21" s="23" t="inlineStr">
        <is>
          <t>Not applicable</t>
        </is>
      </c>
      <c r="Z21" s="23">
        <f>IF(X21="","",IF(X21="Excluded","Consistent",IF(X21="Counted","Inconsistent",IF(X21="Varies (grantee/agency choice)","Partly inconsistent",IF(X21="Not applicable","Not applicable","Needs check")))))</f>
        <v/>
      </c>
      <c r="AA21" s="23" t="inlineStr">
        <is>
          <t>No HUD low-income eligibility test. Borrower income is assessed only for ability to repay under FHA underwriting.</t>
        </is>
      </c>
      <c r="AB21" s="23" t="inlineStr">
        <is>
          <t>Mortgage insurance/credit programs test repayment capacity, not need.</t>
        </is>
      </c>
      <c r="AC21" s="23" t="inlineStr">
        <is>
          <t>Claude's understanding (not verified): FHA underwriting (Handbook 4000.1) treats VA disability benefits as effective income and allows grossing up non-taxable income, which helps rather than hurts a veteran borrower.</t>
        </is>
      </c>
      <c r="AD21" s="23" t="inlineStr">
        <is>
          <t>Not verified — low risk (not income-tested)</t>
        </is>
      </c>
    </row>
    <row r="22" ht="57.75" customHeight="1">
      <c r="A22" s="18" t="n">
        <v>33</v>
      </c>
      <c r="B22" s="19" t="inlineStr">
        <is>
          <t>Mortgage Insurance for Disaster Victims (Section 203)</t>
        </is>
      </c>
      <c r="C22" s="20" t="inlineStr">
        <is>
          <t>Mortgage Insurance Homes for Disaster Victims</t>
        </is>
      </c>
      <c r="D22" s="19" t="inlineStr">
        <is>
          <t>Office of Housing — Single Family Housing Programs</t>
        </is>
      </c>
      <c r="E22" s="20" t="inlineStr">
        <is>
          <t>Assistant Secretary for Housing -- Federal Housing Commissioner</t>
        </is>
      </c>
      <c r="F22" s="19" t="inlineStr">
        <is>
          <t>Mortgage insurance for victims of a Presidentially declared major disaster who have lost their homes and are in the process of rebuilding or buying another single family home.</t>
        </is>
      </c>
      <c r="G22" s="19" t="inlineStr">
        <is>
          <t>Section 203(h) of the National Housing Act (12 U.S.C. 1709(h)).</t>
        </is>
      </c>
      <c r="H22" s="19" t="inlineStr">
        <is>
          <t>Regulations are at 24 CFR 203.18.</t>
        </is>
      </c>
      <c r="I22" s="21" t="inlineStr">
        <is>
          <t>https://www.hud.gov/program_offices/housing/sfh/ins/203h-dft</t>
        </is>
      </c>
      <c r="J22" s="20" t="inlineStr">
        <is>
          <t>14.119</t>
        </is>
      </c>
      <c r="K22" s="20" t="inlineStr">
        <is>
          <t>Mortgage Insurance for DIsaster Victims- 203(h)</t>
        </is>
      </c>
      <c r="L22" s="20" t="inlineStr">
        <is>
          <t>To help victims of a Presidentially-declared disaster whose home was destroyed undertake homeownership on a sound basis.</t>
        </is>
      </c>
      <c r="M22" s="20" t="inlineStr">
        <is>
          <t>Sale, Exchange, or Donation of Property or Goods</t>
        </is>
      </c>
      <c r="N22" s="20" t="inlineStr">
        <is>
          <t>Anyone/general public,Individual/Family</t>
        </is>
      </c>
      <c r="O22" s="20" t="inlineStr">
        <is>
          <t>Individual/Family</t>
        </is>
      </c>
      <c r="P22" s="22" t="n">
        <v>0</v>
      </c>
      <c r="Q22" s="22" t="n">
        <v>0</v>
      </c>
      <c r="R22" s="22" t="n">
        <v>0</v>
      </c>
      <c r="S22" s="23" t="inlineStr">
        <is>
          <t>Underwriting only</t>
        </is>
      </c>
      <c r="T22" s="23" t="inlineStr">
        <is>
          <t>National Housing Act (FHA &amp; mortgage insurance)</t>
        </is>
      </c>
      <c r="U22" s="23" t="inlineStr">
        <is>
          <t>National Housing Act (12 U.S.C. 1701 et seq.)</t>
        </is>
      </c>
      <c r="V22" s="23" t="inlineStr">
        <is>
          <t>N/A (credit underwriting, no income limit)</t>
        </is>
      </c>
      <c r="W22" s="23" t="inlineStr">
        <is>
          <t>N/A</t>
        </is>
      </c>
      <c r="X22" s="23" t="inlineStr">
        <is>
          <t>Not applicable</t>
        </is>
      </c>
      <c r="Y22" s="23" t="inlineStr">
        <is>
          <t>Not applicable</t>
        </is>
      </c>
      <c r="Z22" s="23">
        <f>IF(X22="","",IF(X22="Excluded","Consistent",IF(X22="Counted","Inconsistent",IF(X22="Varies (grantee/agency choice)","Partly inconsistent",IF(X22="Not applicable","Not applicable","Needs check")))))</f>
        <v/>
      </c>
      <c r="AA22" s="23" t="inlineStr">
        <is>
          <t>No HUD low-income eligibility test. Borrower income is assessed only for ability to repay under FHA underwriting.</t>
        </is>
      </c>
      <c r="AB22" s="23" t="inlineStr">
        <is>
          <t>Mortgage insurance/credit programs test repayment capacity, not need.</t>
        </is>
      </c>
      <c r="AC22" s="23" t="inlineStr">
        <is>
          <t>Claude's understanding (not verified): FHA underwriting (Handbook 4000.1) treats VA disability benefits as effective income and allows grossing up non-taxable income, which helps rather than hurts a veteran borrower.</t>
        </is>
      </c>
      <c r="AD22" s="23" t="inlineStr">
        <is>
          <t>Not verified — low risk (not income-tested)</t>
        </is>
      </c>
    </row>
    <row r="23" ht="57.75" customHeight="1">
      <c r="A23" s="18" t="n">
        <v>34</v>
      </c>
      <c r="B23" s="19" t="inlineStr">
        <is>
          <t>Mortgage Insurance for One- to Four-Family Homes (Section 203)</t>
        </is>
      </c>
      <c r="C23" s="20" t="inlineStr">
        <is>
          <t>Mortgage Insurance Homes</t>
        </is>
      </c>
      <c r="D23" s="19" t="inlineStr">
        <is>
          <t>Office of Housing — Single Family Housing Programs</t>
        </is>
      </c>
      <c r="E23" s="20" t="inlineStr">
        <is>
          <t>Assistant Secretary for Housing -- Federal Housing Commissioner</t>
        </is>
      </c>
      <c r="F23" s="19" t="inlineStr">
        <is>
          <t>Mortgage insurance for purchasing or refinancing a primary residence.</t>
        </is>
      </c>
      <c r="G23" s="19" t="inlineStr">
        <is>
          <t>Sections 203(b) and 214 of the National Housing Act (12 U.S.C. 1709(b) and 12 U.S.C. 1715d).</t>
        </is>
      </c>
      <c r="H23" s="19" t="inlineStr">
        <is>
          <t>Regulations are at 24 CFR part 203.</t>
        </is>
      </c>
      <c r="I23" s="21" t="inlineStr">
        <is>
          <t>https://www.hud.gov/program_offices/housing/sfh/ins/203b--df</t>
        </is>
      </c>
      <c r="J23" s="20" t="inlineStr">
        <is>
          <t>14.117</t>
        </is>
      </c>
      <c r="K23" s="20" t="inlineStr">
        <is>
          <t>FHA Home Mortgage Insurance- 203(b)</t>
        </is>
      </c>
      <c r="L23" s="20" t="inlineStr">
        <is>
          <t>Helps enable people to purchase a home or refinance an existing mortgage.</t>
        </is>
      </c>
      <c r="M23" s="20" t="inlineStr">
        <is>
          <t>Guaranteed / Insured Loans</t>
        </is>
      </c>
      <c r="N23" s="20" t="inlineStr">
        <is>
          <t>Anyone/general public,Individual/Family</t>
        </is>
      </c>
      <c r="O23" s="20" t="inlineStr">
        <is>
          <t>Individual/Family</t>
        </is>
      </c>
      <c r="P23" s="22" t="n">
        <v>0</v>
      </c>
      <c r="Q23" s="22" t="n">
        <v>0</v>
      </c>
      <c r="R23" s="22" t="n">
        <v>0</v>
      </c>
      <c r="S23" s="23" t="inlineStr">
        <is>
          <t>Underwriting only</t>
        </is>
      </c>
      <c r="T23" s="23" t="inlineStr">
        <is>
          <t>National Housing Act (FHA &amp; mortgage insurance)</t>
        </is>
      </c>
      <c r="U23" s="23" t="inlineStr">
        <is>
          <t>National Housing Act (12 U.S.C. 1701 et seq.)</t>
        </is>
      </c>
      <c r="V23" s="23" t="inlineStr">
        <is>
          <t>N/A (credit underwriting, no income limit)</t>
        </is>
      </c>
      <c r="W23" s="23" t="inlineStr">
        <is>
          <t>N/A</t>
        </is>
      </c>
      <c r="X23" s="23" t="inlineStr">
        <is>
          <t>Not applicable</t>
        </is>
      </c>
      <c r="Y23" s="23" t="inlineStr">
        <is>
          <t>Not applicable</t>
        </is>
      </c>
      <c r="Z23" s="23">
        <f>IF(X23="","",IF(X23="Excluded","Consistent",IF(X23="Counted","Inconsistent",IF(X23="Varies (grantee/agency choice)","Partly inconsistent",IF(X23="Not applicable","Not applicable","Needs check")))))</f>
        <v/>
      </c>
      <c r="AA23" s="23" t="inlineStr">
        <is>
          <t>No HUD low-income eligibility test. Borrower income is assessed only for ability to repay under FHA underwriting.</t>
        </is>
      </c>
      <c r="AB23" s="23" t="inlineStr">
        <is>
          <t>Mortgage insurance/credit programs test repayment capacity, not need.</t>
        </is>
      </c>
      <c r="AC23" s="23" t="inlineStr">
        <is>
          <t>Claude's understanding (not verified): FHA underwriting (Handbook 4000.1) treats VA disability benefits as effective income and allows grossing up non-taxable income, which helps rather than hurts a veteran borrower.</t>
        </is>
      </c>
      <c r="AD23" s="23" t="inlineStr">
        <is>
          <t>Not verified — low risk (not income-tested)</t>
        </is>
      </c>
    </row>
    <row r="24" ht="71.25" customHeight="1">
      <c r="A24" s="18" t="n">
        <v>36</v>
      </c>
      <c r="B24" s="19" t="inlineStr">
        <is>
          <t>Property Improvement Loan Insurance (Title I)</t>
        </is>
      </c>
      <c r="C24" s="20" t="inlineStr">
        <is>
          <t>Property Improvement Loan Insurance for Improving All Existing Structures and Building of New Nonresidential Structures</t>
        </is>
      </c>
      <c r="D24" s="19" t="inlineStr">
        <is>
          <t>Office of Housing — Single Family Housing Programs</t>
        </is>
      </c>
      <c r="E24" s="20" t="inlineStr">
        <is>
          <t>Assistant Secretary for Housing -- Federal Housing Commissioner</t>
        </is>
      </c>
      <c r="F24" s="19" t="inlineStr">
        <is>
          <t>Mortgage insurance for loans to finance or refinance the alteration, repair or improvement of property, for the purchase and installation of fire safety equipment in existing health care facilities, and for the preservation of historic structures.</t>
        </is>
      </c>
      <c r="G24" s="19" t="inlineStr">
        <is>
          <t>Section 2 of Title I of the National Housing Act (12 U.S.C. 1703).</t>
        </is>
      </c>
      <c r="H24" s="19" t="inlineStr">
        <is>
          <t>Regulations are at 24 CFR part 201.</t>
        </is>
      </c>
      <c r="I24" s="21" t="inlineStr">
        <is>
          <t>https://www.hud.gov/program_offices/housing/sfh/title</t>
        </is>
      </c>
      <c r="J24" s="20" t="inlineStr">
        <is>
          <t>14.142</t>
        </is>
      </c>
      <c r="K24" s="20" t="inlineStr">
        <is>
          <t>Property Improvement Loans (Title I-PI)</t>
        </is>
      </c>
      <c r="L24" s="20" t="inlineStr">
        <is>
          <t>To facilitate the financing of improvements to homes and other property types.</t>
        </is>
      </c>
      <c r="M24" s="20" t="inlineStr">
        <is>
          <t>Sale, Exchange, or Donation of Property or Goods</t>
        </is>
      </c>
      <c r="N24" s="20" t="inlineStr">
        <is>
          <t>Land/Property Owner</t>
        </is>
      </c>
      <c r="O24" s="20" t="inlineStr">
        <is>
          <t>Individual/Family,Profit organization</t>
        </is>
      </c>
      <c r="P24" s="22" t="n">
        <v>0</v>
      </c>
      <c r="Q24" s="22" t="n">
        <v>0</v>
      </c>
      <c r="R24" s="22" t="n">
        <v>0</v>
      </c>
      <c r="S24" s="23" t="inlineStr">
        <is>
          <t>Underwriting only</t>
        </is>
      </c>
      <c r="T24" s="23" t="inlineStr">
        <is>
          <t>National Housing Act (FHA &amp; mortgage insurance)</t>
        </is>
      </c>
      <c r="U24" s="23" t="inlineStr">
        <is>
          <t>National Housing Act (12 U.S.C. 1701 et seq.)</t>
        </is>
      </c>
      <c r="V24" s="23" t="inlineStr">
        <is>
          <t>N/A (credit underwriting, no income limit)</t>
        </is>
      </c>
      <c r="W24" s="23" t="inlineStr">
        <is>
          <t>N/A</t>
        </is>
      </c>
      <c r="X24" s="23" t="inlineStr">
        <is>
          <t>Not applicable</t>
        </is>
      </c>
      <c r="Y24" s="23" t="inlineStr">
        <is>
          <t>Not applicable</t>
        </is>
      </c>
      <c r="Z24" s="23">
        <f>IF(X24="","",IF(X24="Excluded","Consistent",IF(X24="Counted","Inconsistent",IF(X24="Varies (grantee/agency choice)","Partly inconsistent",IF(X24="Not applicable","Not applicable","Needs check")))))</f>
        <v/>
      </c>
      <c r="AA24" s="23" t="inlineStr">
        <is>
          <t>No HUD low-income eligibility test. Borrower income is assessed only for ability to repay under FHA underwriting.</t>
        </is>
      </c>
      <c r="AB24" s="23" t="inlineStr">
        <is>
          <t>Mortgage insurance/credit programs test repayment capacity, not need.</t>
        </is>
      </c>
      <c r="AC24" s="23" t="inlineStr">
        <is>
          <t>Claude's understanding (not verified): FHA underwriting (Handbook 4000.1) treats VA disability benefits as effective income and allows grossing up non-taxable income, which helps rather than hurts a veteran borrower.</t>
        </is>
      </c>
      <c r="AD24" s="23" t="inlineStr">
        <is>
          <t>Not verified — low risk (not income-tested)</t>
        </is>
      </c>
    </row>
    <row r="25" ht="111.75" customHeight="1">
      <c r="A25" s="18" t="n">
        <v>37</v>
      </c>
      <c r="B25" s="19" t="inlineStr">
        <is>
          <t>Rehabilitation Loan Mortgage Insurance (Section 203(k))</t>
        </is>
      </c>
      <c r="C25" s="20" t="inlineStr">
        <is>
          <t>Rehabilitation Mortgage Insurance</t>
        </is>
      </c>
      <c r="D25" s="19" t="inlineStr">
        <is>
          <t>Office of Housing — Single Family Housing Programs</t>
        </is>
      </c>
      <c r="E25" s="20" t="inlineStr">
        <is>
          <t>Assistant Secretary for Housing -- Federal Housing Commissioner</t>
        </is>
      </c>
      <c r="F25" s="19" t="inlineStr">
        <is>
          <t>Mortgage insurance to finance the rehabilitation or purchase and rehabilitation of one- to fourunit structures.</t>
        </is>
      </c>
      <c r="G25" s="19" t="inlineStr">
        <is>
          <t>Section 203(k) of the National Housing Act (12 U.S.C. 1709(k)).</t>
        </is>
      </c>
      <c r="H25" s="19" t="inlineStr">
        <is>
          <t>Regulations are in 24 CFR 203.50.</t>
        </is>
      </c>
      <c r="I25" s="21" t="inlineStr">
        <is>
          <t>https://www.hud.gov/program_offices/housing/sfh/203k/203k--df</t>
        </is>
      </c>
      <c r="J25" s="20" t="inlineStr">
        <is>
          <t>14.108</t>
        </is>
      </c>
      <c r="K25" s="20" t="inlineStr">
        <is>
          <t>FHA Rehabilitation Mortgage- 203(k)</t>
        </is>
      </c>
      <c r="L25" s="20" t="inlineStr">
        <is>
          <t>FHA's 203(k) Rehabilitation Mortgage program is HUD's primary program for the rehabilitation and repair of one to four family properties. It is an important tool for community and neighborhood revitalization and for expanding homeownership opportunities.  The 203(k) program works with either a purchase or refinance transaction and allows the cost of making repairs and/or improvement to be included in the loan amount.</t>
        </is>
      </c>
      <c r="M25" s="20" t="inlineStr">
        <is>
          <t>Guaranteed / Insured Loans</t>
        </is>
      </c>
      <c r="N25" s="20" t="inlineStr">
        <is>
          <t>Anyone/general public,Individual/Family</t>
        </is>
      </c>
      <c r="O25" s="20" t="inlineStr">
        <is>
          <t>Individual/Family</t>
        </is>
      </c>
      <c r="P25" s="22" t="n">
        <v>0</v>
      </c>
      <c r="Q25" s="22" t="n">
        <v>0</v>
      </c>
      <c r="R25" s="22" t="n">
        <v>0</v>
      </c>
      <c r="S25" s="23" t="inlineStr">
        <is>
          <t>Underwriting only</t>
        </is>
      </c>
      <c r="T25" s="23" t="inlineStr">
        <is>
          <t>National Housing Act (FHA &amp; mortgage insurance)</t>
        </is>
      </c>
      <c r="U25" s="23" t="inlineStr">
        <is>
          <t>National Housing Act (12 U.S.C. 1701 et seq.)</t>
        </is>
      </c>
      <c r="V25" s="23" t="inlineStr">
        <is>
          <t>N/A (credit underwriting, no income limit)</t>
        </is>
      </c>
      <c r="W25" s="23" t="inlineStr">
        <is>
          <t>N/A</t>
        </is>
      </c>
      <c r="X25" s="23" t="inlineStr">
        <is>
          <t>Not applicable</t>
        </is>
      </c>
      <c r="Y25" s="23" t="inlineStr">
        <is>
          <t>Not applicable</t>
        </is>
      </c>
      <c r="Z25" s="23">
        <f>IF(X25="","",IF(X25="Excluded","Consistent",IF(X25="Counted","Inconsistent",IF(X25="Varies (grantee/agency choice)","Partly inconsistent",IF(X25="Not applicable","Not applicable","Needs check")))))</f>
        <v/>
      </c>
      <c r="AA25" s="23" t="inlineStr">
        <is>
          <t>No HUD low-income eligibility test. Borrower income is assessed only for ability to repay under FHA underwriting.</t>
        </is>
      </c>
      <c r="AB25" s="23" t="inlineStr">
        <is>
          <t>Mortgage insurance/credit programs test repayment capacity, not need.</t>
        </is>
      </c>
      <c r="AC25" s="23" t="inlineStr">
        <is>
          <t>Claude's understanding (not verified): FHA underwriting (Handbook 4000.1) treats VA disability benefits as effective income and allows grossing up non-taxable income, which helps rather than hurts a veteran borrower.</t>
        </is>
      </c>
      <c r="AD25" s="23" t="inlineStr">
        <is>
          <t>Not verified — low risk (not income-tested)</t>
        </is>
      </c>
    </row>
    <row r="26" ht="152.25" customHeight="1">
      <c r="A26" s="18" t="n">
        <v>38</v>
      </c>
      <c r="B26" s="19" t="inlineStr">
        <is>
          <t>Single Family Property Disposition Program (Section 204(g))</t>
        </is>
      </c>
      <c r="C26" s="20" t="inlineStr">
        <is>
          <t>Single Family Property Disposition</t>
        </is>
      </c>
      <c r="D26" s="19" t="inlineStr">
        <is>
          <t>Office of Housing — Single Family Housing Programs</t>
        </is>
      </c>
      <c r="E26" s="20" t="inlineStr">
        <is>
          <t>Assistant Secretary for Housing -- Federal Housing Commissioner</t>
        </is>
      </c>
      <c r="F26" s="19" t="inlineStr">
        <is>
          <t>Disposes of one- to four-family properties acquired by FHA through foreclosure of an insured or Secretary-held mortgage loan under the National Housing Act.</t>
        </is>
      </c>
      <c r="G26" s="19" t="inlineStr">
        <is>
          <t>Section 204(g) of the National Housing Act (12 U.S.C. 1710(g)).</t>
        </is>
      </c>
      <c r="H26" s="19" t="inlineStr">
        <is>
          <t>Regulations are at 24 CFR part 291.</t>
        </is>
      </c>
      <c r="I26" s="21" t="inlineStr">
        <is>
          <t>http://www.hudhomestore.gov/Home/Index.aspx</t>
        </is>
      </c>
      <c r="J26" s="20" t="inlineStr">
        <is>
          <t>14.311</t>
        </is>
      </c>
      <c r="K26" s="20" t="inlineStr">
        <is>
          <t>HUD Homes</t>
        </is>
      </c>
      <c r="L26" s="20" t="inlineStr">
        <is>
          <t>To sell HUD single family Real Estate Owned (REO) properties in a manner that expands homeownership opportunities, strengthens neighborhoods and communities, and ensures a maximum return to the FHA mortgage insurance fund.</t>
        </is>
      </c>
      <c r="M26" s="20" t="inlineStr">
        <is>
          <t>Sale, Exchange, or Donation of Property or Goods</t>
        </is>
      </c>
      <c r="N26" s="20" t="inlineStr">
        <is>
          <t>Federal,Public nonprofit institution/organization,State</t>
        </is>
      </c>
      <c r="O26" s="20" t="inlineStr">
        <is>
          <t>Anyone/general public,Federal,Individual/Family,Local (includes State-designated lndian Tribes, excludes institutions of higher education and hospitals,State (includes District of Columbia, public institutions of higher education and hospitals)</t>
        </is>
      </c>
      <c r="P26" s="22" t="n">
        <v>0</v>
      </c>
      <c r="Q26" s="22" t="n">
        <v>0</v>
      </c>
      <c r="R26" s="22" t="n">
        <v>0</v>
      </c>
      <c r="S26" s="23" t="inlineStr">
        <is>
          <t>Not income-tested</t>
        </is>
      </c>
      <c r="T26" s="23" t="inlineStr">
        <is>
          <t>National Housing Act (FHA &amp; mortgage insurance)</t>
        </is>
      </c>
      <c r="U26" s="23" t="inlineStr">
        <is>
          <t>National Housing Act §204(g)</t>
        </is>
      </c>
      <c r="V26" s="23" t="inlineStr">
        <is>
          <t>N/A</t>
        </is>
      </c>
      <c r="W26" s="23" t="inlineStr">
        <is>
          <t>N/A</t>
        </is>
      </c>
      <c r="X26" s="23" t="inlineStr">
        <is>
          <t>Not applicable</t>
        </is>
      </c>
      <c r="Y26" s="23" t="inlineStr">
        <is>
          <t>Not applicable</t>
        </is>
      </c>
      <c r="Z26" s="23">
        <f>IF(X26="","",IF(X26="Excluded","Consistent",IF(X26="Counted","Inconsistent",IF(X26="Varies (grantee/agency choice)","Partly inconsistent",IF(X26="Not applicable","Not applicable","Needs check")))))</f>
        <v/>
      </c>
      <c r="AA26" s="23" t="inlineStr">
        <is>
          <t>No household income eligibility test: disposition of FHA-acquired single-family properties.</t>
        </is>
      </c>
      <c r="AB26" s="23" t="inlineStr">
        <is>
          <t>Not a means-tested household benefit.</t>
        </is>
      </c>
      <c r="AC26" s="23" t="n"/>
      <c r="AD26" s="23" t="inlineStr">
        <is>
          <t>Not verified — low risk (not income-tested)</t>
        </is>
      </c>
    </row>
    <row r="27" ht="84.75" customHeight="1">
      <c r="A27" s="18" t="n">
        <v>40</v>
      </c>
      <c r="B27" s="19" t="inlineStr">
        <is>
          <t>Manufactured Home Construction and Safety Standards</t>
        </is>
      </c>
      <c r="C27" s="20" t="inlineStr">
        <is>
          <t>Manufactured Housing</t>
        </is>
      </c>
      <c r="D27" s="19" t="inlineStr">
        <is>
          <t>Office of Housing — Risk Management and Regulatory Affairs</t>
        </is>
      </c>
      <c r="E27" s="20" t="inlineStr">
        <is>
          <t>Assistant Secretary for Housing -- Federal Housing Commissioner</t>
        </is>
      </c>
      <c r="F27" s="19" t="inlineStr">
        <is>
          <t>Federal standards for the design, construction, transportation, and systems (fire safety, plumbing, heat producing, and electrical) of manufactured homes that are designed to be used as dwelling units. The standards seek to protect the quality, durability, safety, and affordability of manufactured homes.</t>
        </is>
      </c>
      <c r="G27" s="19" t="inlineStr">
        <is>
          <t>National Manufactured Housing Construction and Safety Standards Act of 1974 (42 U.S.C. 5401-5426) (42 U.S.C. 5425 has been repealed).</t>
        </is>
      </c>
      <c r="H27" s="19" t="inlineStr">
        <is>
          <t>Regulations are at 24 CFR parts 3280, 3282, 3284, 3285, 3286, 3288, and 3800.</t>
        </is>
      </c>
      <c r="I27" s="21" t="inlineStr">
        <is>
          <t>https://www.hud.gov/program_offices/housing/mhs/csp</t>
        </is>
      </c>
      <c r="J27" s="20" t="inlineStr">
        <is>
          <t>14.171</t>
        </is>
      </c>
      <c r="K27" s="20" t="inlineStr">
        <is>
          <t>Manufactured Housing</t>
        </is>
      </c>
      <c r="L27" s="20" t="inlineStr">
        <is>
          <t>Administers the National Manufactured Housing Construction and Safety Standards Act of 1974 (the Act) which authorizes HUD to establish federal standards for the design and construction of manufactured homes to assure quality, durability, safety, and affordability.</t>
        </is>
      </c>
      <c r="M27" s="20" t="inlineStr">
        <is>
          <t>Provision of Specialized Services</t>
        </is>
      </c>
      <c r="N27" s="20" t="inlineStr">
        <is>
          <t>Anyone/general public,Homeowner,Individual/Family,Profit organization</t>
        </is>
      </c>
      <c r="O27" s="20" t="inlineStr">
        <is>
          <t>Individual/Family,Profit organization</t>
        </is>
      </c>
      <c r="P27" s="22" t="n">
        <v>0</v>
      </c>
      <c r="Q27" s="22" t="n">
        <v>4041273</v>
      </c>
      <c r="R27" s="22" t="n">
        <v>3754489</v>
      </c>
      <c r="S27" s="23" t="inlineStr">
        <is>
          <t>Not income-tested</t>
        </is>
      </c>
      <c r="T27" s="23" t="inlineStr">
        <is>
          <t>Other statutes &amp; appropriations</t>
        </is>
      </c>
      <c r="U27" s="23" t="inlineStr">
        <is>
          <t>National Manufactured Housing Construction and Safety Standards Act of 1974</t>
        </is>
      </c>
      <c r="V27" s="23" t="inlineStr">
        <is>
          <t>N/A</t>
        </is>
      </c>
      <c r="W27" s="23" t="inlineStr">
        <is>
          <t>N/A</t>
        </is>
      </c>
      <c r="X27" s="23" t="inlineStr">
        <is>
          <t>Not applicable</t>
        </is>
      </c>
      <c r="Y27" s="23" t="inlineStr">
        <is>
          <t>Not applicable</t>
        </is>
      </c>
      <c r="Z27" s="23">
        <f>IF(X27="","",IF(X27="Excluded","Consistent",IF(X27="Counted","Inconsistent",IF(X27="Varies (grantee/agency choice)","Partly inconsistent",IF(X27="Not applicable","Not applicable","Needs check")))))</f>
        <v/>
      </c>
      <c r="AA27" s="23" t="inlineStr">
        <is>
          <t>No household income eligibility test: federal construction and safety standards for manufactured homes.</t>
        </is>
      </c>
      <c r="AB27" s="23" t="inlineStr">
        <is>
          <t>Not a means-tested household benefit.</t>
        </is>
      </c>
      <c r="AC27" s="23" t="n"/>
      <c r="AD27" s="23" t="inlineStr">
        <is>
          <t>Not verified — low risk (not income-tested)</t>
        </is>
      </c>
    </row>
    <row r="28" ht="152.25" customHeight="1">
      <c r="A28" s="18" t="n">
        <v>42</v>
      </c>
      <c r="B28" s="19" t="inlineStr">
        <is>
          <t>Mortgage Insurance for Cooperative Housing (Section 213)</t>
        </is>
      </c>
      <c r="C28" s="20" t="inlineStr">
        <is>
          <t>Mortgage Insurance Cooperative Projects</t>
        </is>
      </c>
      <c r="D28" s="19" t="inlineStr">
        <is>
          <t>Office of Housing — Multifamily Housing Programs</t>
        </is>
      </c>
      <c r="E28" s="20" t="inlineStr">
        <is>
          <t>Assistant Secretary for Housing -- Federal Housing Commissioner</t>
        </is>
      </c>
      <c r="F28" s="19" t="inlineStr">
        <is>
          <t>Mortgage insurance to finance new construction, substantial rehabilitation, and purchase of cooperative housing projects.</t>
        </is>
      </c>
      <c r="G28" s="19" t="inlineStr">
        <is>
          <t>Section 213 of the National Housing Act (12 U.S.C. 1715e).</t>
        </is>
      </c>
      <c r="H28" s="19" t="inlineStr">
        <is>
          <t>Regulations are at 24 CFR part 200, subpart A and 24 CFR part 213.</t>
        </is>
      </c>
      <c r="I28" s="21" t="inlineStr">
        <is>
          <t>https://www.hud.gov/program_offices/housing/mfh/progdesc/progsec213</t>
        </is>
      </c>
      <c r="J28" s="20" t="inlineStr">
        <is>
          <t>14.126</t>
        </is>
      </c>
      <c r="K28" s="20" t="inlineStr">
        <is>
          <t>Cooperative Housing Mortgage Insurance - Section 213</t>
        </is>
      </c>
      <c r="L28" s="20" t="inlineStr">
        <is>
          <t>Enables nonprofit cooperative ownership housing corporations or trusts to develop or sponsor the development of housing projects to be operated as cooperatives.  Section 213 allows investors to provide good quality multifamily housing to be sold to such nonprofit corporations or trusts upon completion of construction or rehabilitation.</t>
        </is>
      </c>
      <c r="M28" s="20" t="inlineStr">
        <is>
          <t>Guaranteed / Insured Loans</t>
        </is>
      </c>
      <c r="N28" s="20" t="inlineStr">
        <is>
          <t>Private nonprofit institution/organization,Profit organization,Public nonprofit institution/organization,Sponsored organization</t>
        </is>
      </c>
      <c r="O28" s="20" t="inlineStr">
        <is>
          <t>Private nonprofit institution/organization (includes institutions of higher education and hospitals),Public nonprofit institution/organization (includes institutions of higher education and hospitals),Quasi-public nonprofit institution/organization</t>
        </is>
      </c>
      <c r="P28" s="22" t="n">
        <v>0</v>
      </c>
      <c r="Q28" s="22" t="n">
        <v>0</v>
      </c>
      <c r="R28" s="22" t="n">
        <v>0</v>
      </c>
      <c r="S28" s="23" t="inlineStr">
        <is>
          <t>Underwriting only</t>
        </is>
      </c>
      <c r="T28" s="23" t="inlineStr">
        <is>
          <t>National Housing Act (FHA &amp; mortgage insurance)</t>
        </is>
      </c>
      <c r="U28" s="23" t="inlineStr">
        <is>
          <t>National Housing Act (12 U.S.C. 1701 et seq.)</t>
        </is>
      </c>
      <c r="V28" s="23" t="inlineStr">
        <is>
          <t>N/A (credit underwriting, no income limit)</t>
        </is>
      </c>
      <c r="W28" s="23" t="inlineStr">
        <is>
          <t>N/A</t>
        </is>
      </c>
      <c r="X28" s="23" t="inlineStr">
        <is>
          <t>Not applicable</t>
        </is>
      </c>
      <c r="Y28" s="23" t="inlineStr">
        <is>
          <t>Not applicable</t>
        </is>
      </c>
      <c r="Z28" s="23">
        <f>IF(X28="","",IF(X28="Excluded","Consistent",IF(X28="Counted","Inconsistent",IF(X28="Varies (grantee/agency choice)","Partly inconsistent",IF(X28="Not applicable","Not applicable","Needs check")))))</f>
        <v/>
      </c>
      <c r="AA28" s="23" t="inlineStr">
        <is>
          <t>No HUD low-income eligibility test. Borrower income is assessed only for ability to repay under FHA underwriting.</t>
        </is>
      </c>
      <c r="AB28" s="23" t="inlineStr">
        <is>
          <t>Mortgage insurance/credit programs test repayment capacity, not need.</t>
        </is>
      </c>
      <c r="AC28" s="23" t="inlineStr">
        <is>
          <t>Multifamily project mortgage insurance; no tenant income limits (Claude's understanding; not verified).</t>
        </is>
      </c>
      <c r="AD28" s="23" t="inlineStr">
        <is>
          <t>Not verified — low risk (not income-tested)</t>
        </is>
      </c>
    </row>
    <row r="29" ht="125.25" customHeight="1">
      <c r="A29" s="18" t="n">
        <v>43</v>
      </c>
      <c r="B29" s="19" t="inlineStr">
        <is>
          <t>Mortgage Insurance for Purchase or Refinance of Existing and Multifamily Rental Housing (Sections 207 and 223(f))</t>
        </is>
      </c>
      <c r="C29" s="20" t="inlineStr">
        <is>
          <t>Mortgage Insurance Rental Housing</t>
        </is>
      </c>
      <c r="D29" s="19" t="inlineStr">
        <is>
          <t>Office of Housing — Multifamily Housing Programs</t>
        </is>
      </c>
      <c r="E29" s="20" t="inlineStr">
        <is>
          <t>Assistant Secretary for Housing -- Federal Housing Commissioner</t>
        </is>
      </c>
      <c r="F29" s="19" t="inlineStr">
        <is>
          <t>Housing (Sections 207 and 223(f)) Mortgage insurance for the purchase or refinancing of existing multifamily rental housing.</t>
        </is>
      </c>
      <c r="G29" s="19" t="inlineStr">
        <is>
          <t>Sections 207 and 223(f) of the National Housing Act (12 U.S.C. 1713 and 12 U.S.C. 1715n(f)).</t>
        </is>
      </c>
      <c r="H29" s="19" t="inlineStr">
        <is>
          <t>Regulations are at 24 CFR part 200 and part 207.</t>
        </is>
      </c>
      <c r="I29" s="21" t="inlineStr">
        <is>
          <t>https://www.hud.gov/program_offices/housing/mfh/progdesc/purchrefi223f</t>
        </is>
      </c>
      <c r="J29" s="20" t="inlineStr">
        <is>
          <t>14.134</t>
        </is>
      </c>
      <c r="K29" s="20" t="inlineStr">
        <is>
          <t>Mortgage Insurance for Rental Housing -Section 207</t>
        </is>
      </c>
      <c r="L29" s="20" t="inlineStr">
        <is>
          <t>HUD insures mortgage loans to finance the construction or rehabilitation of a broad range of multifamily rental housing through a variety of programs linked in the Related Federal Assistance section. Though Section 207 itself is no longer active, this assistance listing is used to provide total FHA multifamily mortgage commitments across those programs. Due to challenges in breaking out projected commitments by each listing, the activity is summed and reported here.</t>
        </is>
      </c>
      <c r="M29" s="20" t="inlineStr">
        <is>
          <t>Guaranteed / Insured Loans</t>
        </is>
      </c>
      <c r="N29" s="20" t="inlineStr">
        <is>
          <t>Anyone/general public,Individual/Family</t>
        </is>
      </c>
      <c r="O29" s="20" t="inlineStr">
        <is>
          <t>Other private institutions/organizations,Private nonprofit institution/organization (includes institutions of higher education and hospitals),Profit organization</t>
        </is>
      </c>
      <c r="P29" s="22" t="n">
        <v>0</v>
      </c>
      <c r="Q29" s="22" t="n">
        <v>0</v>
      </c>
      <c r="R29" s="22" t="n">
        <v>0</v>
      </c>
      <c r="S29" s="23" t="inlineStr">
        <is>
          <t>Underwriting only</t>
        </is>
      </c>
      <c r="T29" s="23" t="inlineStr">
        <is>
          <t>National Housing Act (FHA &amp; mortgage insurance)</t>
        </is>
      </c>
      <c r="U29" s="23" t="inlineStr">
        <is>
          <t>National Housing Act (12 U.S.C. 1701 et seq.)</t>
        </is>
      </c>
      <c r="V29" s="23" t="inlineStr">
        <is>
          <t>N/A (credit underwriting, no income limit)</t>
        </is>
      </c>
      <c r="W29" s="23" t="inlineStr">
        <is>
          <t>N/A</t>
        </is>
      </c>
      <c r="X29" s="23" t="inlineStr">
        <is>
          <t>Not applicable</t>
        </is>
      </c>
      <c r="Y29" s="23" t="inlineStr">
        <is>
          <t>Not applicable</t>
        </is>
      </c>
      <c r="Z29" s="23">
        <f>IF(X29="","",IF(X29="Excluded","Consistent",IF(X29="Counted","Inconsistent",IF(X29="Varies (grantee/agency choice)","Partly inconsistent",IF(X29="Not applicable","Not applicable","Needs check")))))</f>
        <v/>
      </c>
      <c r="AA29" s="23" t="inlineStr">
        <is>
          <t>No HUD low-income eligibility test. Borrower income is assessed only for ability to repay under FHA underwriting.</t>
        </is>
      </c>
      <c r="AB29" s="23" t="inlineStr">
        <is>
          <t>Mortgage insurance/credit programs test repayment capacity, not need.</t>
        </is>
      </c>
      <c r="AC29" s="23" t="inlineStr">
        <is>
          <t>Multifamily project mortgage insurance; no tenant income limits (Claude's understanding; not verified).</t>
        </is>
      </c>
      <c r="AD29" s="23" t="inlineStr">
        <is>
          <t>Not verified — low risk (not income-tested)</t>
        </is>
      </c>
    </row>
    <row r="30" ht="138.75" customHeight="1">
      <c r="A30" s="18" t="n">
        <v>43</v>
      </c>
      <c r="B30" s="19" t="inlineStr">
        <is>
          <t>Mortgage Insurance for Purchase or Refinance of Existing and Multifamily Rental Housing (Sections 207 and 223(f))</t>
        </is>
      </c>
      <c r="C30" s="20" t="inlineStr">
        <is>
          <t>Mortgage Insurance for the Purchase or Refinancing of Existing Multifamily Housing Projects</t>
        </is>
      </c>
      <c r="D30" s="19" t="inlineStr">
        <is>
          <t>Office of Housing — Multifamily Housing Programs</t>
        </is>
      </c>
      <c r="E30" s="20" t="inlineStr">
        <is>
          <t>Assistant Secretary for Housing -- Federal Housing Commissioner</t>
        </is>
      </c>
      <c r="F30" s="19" t="inlineStr">
        <is>
          <t>Housing (Sections 207 and 223(f)) Mortgage insurance for the purchase or refinancing of existing multifamily rental housing.</t>
        </is>
      </c>
      <c r="G30" s="19" t="inlineStr">
        <is>
          <t>Sections 207 and 223(f) of the National Housing Act (12 U.S.C. 1713 and 12 U.S.C. 1715n(f)).</t>
        </is>
      </c>
      <c r="H30" s="19" t="inlineStr">
        <is>
          <t>Regulations are at 24 CFR part 200 and part 207.</t>
        </is>
      </c>
      <c r="I30" s="21" t="inlineStr">
        <is>
          <t>https://www.hud.gov/program_offices/housing/mfh/progdesc/purchrefi223f</t>
        </is>
      </c>
      <c r="J30" s="20" t="inlineStr">
        <is>
          <t>14.155</t>
        </is>
      </c>
      <c r="K30" s="20" t="inlineStr">
        <is>
          <t>Multifamily Rental Property Purchase or Refi - Section 223(f)</t>
        </is>
      </c>
      <c r="L30" s="20" t="inlineStr">
        <is>
          <t>To provide mortgage insurance to HUD-approved lenders for the purchase or refinancing of existing multifamily housing projects, whether conventionally financed or subject to federally insured mortgages at the time of application for mortgage insurance. The program allows for the long term mortgages that can be financed with Ginnie Mae Mortgage-Backed Securities.</t>
        </is>
      </c>
      <c r="M30" s="20" t="inlineStr">
        <is>
          <t>Guaranteed / Insured Loans</t>
        </is>
      </c>
      <c r="N30" s="20" t="inlineStr">
        <is>
          <t>Anyone/general public</t>
        </is>
      </c>
      <c r="O30" s="20" t="inlineStr">
        <is>
          <t>Anyone/general public,Private nonprofit institution/organization (includes institutions of higher education and hospitals),Profit organization,Public nonprofit institution/organization (includes institutions of higher education and hospitals)</t>
        </is>
      </c>
      <c r="P30" s="22" t="n">
        <v>0</v>
      </c>
      <c r="Q30" s="22" t="n">
        <v>0</v>
      </c>
      <c r="R30" s="22" t="n">
        <v>0</v>
      </c>
      <c r="S30" s="23" t="inlineStr">
        <is>
          <t>Underwriting only</t>
        </is>
      </c>
      <c r="T30" s="23" t="inlineStr">
        <is>
          <t>National Housing Act (FHA &amp; mortgage insurance)</t>
        </is>
      </c>
      <c r="U30" s="23" t="inlineStr">
        <is>
          <t>National Housing Act (12 U.S.C. 1701 et seq.)</t>
        </is>
      </c>
      <c r="V30" s="23" t="inlineStr">
        <is>
          <t>N/A (credit underwriting, no income limit)</t>
        </is>
      </c>
      <c r="W30" s="23" t="inlineStr">
        <is>
          <t>N/A</t>
        </is>
      </c>
      <c r="X30" s="23" t="inlineStr">
        <is>
          <t>Not applicable</t>
        </is>
      </c>
      <c r="Y30" s="23" t="inlineStr">
        <is>
          <t>Not applicable</t>
        </is>
      </c>
      <c r="Z30" s="23">
        <f>IF(X30="","",IF(X30="Excluded","Consistent",IF(X30="Counted","Inconsistent",IF(X30="Varies (grantee/agency choice)","Partly inconsistent",IF(X30="Not applicable","Not applicable","Needs check")))))</f>
        <v/>
      </c>
      <c r="AA30" s="23" t="inlineStr">
        <is>
          <t>No HUD low-income eligibility test. Borrower income is assessed only for ability to repay under FHA underwriting.</t>
        </is>
      </c>
      <c r="AB30" s="23" t="inlineStr">
        <is>
          <t>Mortgage insurance/credit programs test repayment capacity, not need.</t>
        </is>
      </c>
      <c r="AC30" s="23" t="inlineStr">
        <is>
          <t>Multifamily project mortgage insurance; no tenant income limits (Claude's understanding; not verified).</t>
        </is>
      </c>
      <c r="AD30" s="23" t="inlineStr">
        <is>
          <t>Not verified — low risk (not income-tested)</t>
        </is>
      </c>
    </row>
    <row r="31" ht="165.75" customHeight="1">
      <c r="A31" s="18" t="n">
        <v>44</v>
      </c>
      <c r="B31" s="19" t="inlineStr">
        <is>
          <t>Mortgage Insurance for Rental Housing for the Elderly (Section 231)</t>
        </is>
      </c>
      <c r="C31" s="20" t="inlineStr">
        <is>
          <t>Mortgage Insurance Rental Housing for the Elderly</t>
        </is>
      </c>
      <c r="D31" s="19" t="inlineStr">
        <is>
          <t>Office of Housing — Multifamily Housing Programs</t>
        </is>
      </c>
      <c r="E31" s="20" t="inlineStr">
        <is>
          <t>Assistant Secretary for Housing -- Federal Housing Commissioner</t>
        </is>
      </c>
      <c r="F31" s="19" t="inlineStr">
        <is>
          <t>Mortgage insurance to finance the construction or rehabilitation of multifamily rental housing for the elderly and/or persons with disabilities.</t>
        </is>
      </c>
      <c r="G31" s="19" t="inlineStr">
        <is>
          <t>Section 231 of the National Housing Act (12 U.S.C. 1715v).</t>
        </is>
      </c>
      <c r="H31" s="19" t="inlineStr">
        <is>
          <t>Regulations are at 24 CFR part 200, subpart A, and part 231.</t>
        </is>
      </c>
      <c r="I31" s="21" t="inlineStr">
        <is>
          <t>https://www.hud.gov/program_offices/housing/mfh/progdesc/progsec231</t>
        </is>
      </c>
      <c r="J31" s="20" t="inlineStr">
        <is>
          <t>14.138</t>
        </is>
      </c>
      <c r="K31" s="20" t="inlineStr">
        <is>
          <t>New Construction and Substantial Rehabilitation for Rental Housing for the Elderly - Section 231</t>
        </is>
      </c>
      <c r="L31" s="20" t="inlineStr">
        <is>
          <t>To provide quality rental housing for the elderly.</t>
        </is>
      </c>
      <c r="M31" s="20" t="inlineStr">
        <is>
          <t>Guaranteed / Insured Loans</t>
        </is>
      </c>
      <c r="N31" s="20" t="inlineStr">
        <is>
          <t>Anyone/general public,Disabled (e.g. Deaf, Blind, Physically Disabled),Physically Afflicted (e.g. TB, Arthritis, Heart Disease),Private nonprofit institution/organization,Profit organization,Public nonprofit institution/organization,Senior Citizen (60+)</t>
        </is>
      </c>
      <c r="O31" s="20" t="inlineStr">
        <is>
          <t>Private nonprofit institution/organization (includes institutions of higher education and hospitals),Profit organization,Public nonprofit institution/organization (includes institutions of higher education and hospitals),Specialized group (e.g. health professionals, students, veterans)</t>
        </is>
      </c>
      <c r="P31" s="22" t="n">
        <v>0</v>
      </c>
      <c r="Q31" s="22" t="n">
        <v>0</v>
      </c>
      <c r="R31" s="22" t="n">
        <v>0</v>
      </c>
      <c r="S31" s="23" t="inlineStr">
        <is>
          <t>Underwriting only</t>
        </is>
      </c>
      <c r="T31" s="23" t="inlineStr">
        <is>
          <t>National Housing Act (FHA &amp; mortgage insurance)</t>
        </is>
      </c>
      <c r="U31" s="23" t="inlineStr">
        <is>
          <t>National Housing Act (12 U.S.C. 1701 et seq.)</t>
        </is>
      </c>
      <c r="V31" s="23" t="inlineStr">
        <is>
          <t>N/A (credit underwriting, no income limit)</t>
        </is>
      </c>
      <c r="W31" s="23" t="inlineStr">
        <is>
          <t>N/A</t>
        </is>
      </c>
      <c r="X31" s="23" t="inlineStr">
        <is>
          <t>Not applicable</t>
        </is>
      </c>
      <c r="Y31" s="23" t="inlineStr">
        <is>
          <t>Not applicable</t>
        </is>
      </c>
      <c r="Z31" s="23">
        <f>IF(X31="","",IF(X31="Excluded","Consistent",IF(X31="Counted","Inconsistent",IF(X31="Varies (grantee/agency choice)","Partly inconsistent",IF(X31="Not applicable","Not applicable","Needs check")))))</f>
        <v/>
      </c>
      <c r="AA31" s="23" t="inlineStr">
        <is>
          <t>No HUD low-income eligibility test. Borrower income is assessed only for ability to repay under FHA underwriting.</t>
        </is>
      </c>
      <c r="AB31" s="23" t="inlineStr">
        <is>
          <t>Mortgage insurance/credit programs test repayment capacity, not need.</t>
        </is>
      </c>
      <c r="AC31" s="23" t="inlineStr">
        <is>
          <t>Multifamily project mortgage insurance; no tenant income limits (Claude's understanding; not verified).</t>
        </is>
      </c>
      <c r="AD31" s="23" t="inlineStr">
        <is>
          <t>Not verified — low risk (not income-tested)</t>
        </is>
      </c>
    </row>
    <row r="32" ht="179.25" customHeight="1">
      <c r="A32" s="18" t="n">
        <v>45</v>
      </c>
      <c r="B32" s="19" t="inlineStr">
        <is>
          <t>Mortgage Insurance for Rental Housing for Urban Renewal and Concentrated Development Areas (Section 220)</t>
        </is>
      </c>
      <c r="C32" s="20" t="inlineStr">
        <is>
          <t>Mortgage Insurance Rental Housing in Urban Renewal Areas</t>
        </is>
      </c>
      <c r="D32" s="19" t="inlineStr">
        <is>
          <t>Office of Housing — Multifamily Housing Programs</t>
        </is>
      </c>
      <c r="E32" s="20" t="inlineStr">
        <is>
          <t>Assistant Secretary for Housing -- Federal Housing Commissioner</t>
        </is>
      </c>
      <c r="F32" s="19" t="inlineStr">
        <is>
          <t>Development Areas (Section 220) Mortgage insurance for housing in urban renewal areas, areas in which concentrated revitalization or code enforcement activities have been undertaken by local government, or to alter, repair, or improve housing in those areas.</t>
        </is>
      </c>
      <c r="G32" s="19" t="inlineStr">
        <is>
          <t>Section 220 of the National Housing Act (12 U.S.C. 1715k).</t>
        </is>
      </c>
      <c r="H32" s="19" t="inlineStr">
        <is>
          <t>Regulations are at 24 CFR part 200, subpart A, and part 220.</t>
        </is>
      </c>
      <c r="I32" s="21" t="inlineStr">
        <is>
          <t>https://www.hud.gov/program_offices/housing/mfh/progdesc/progsec220</t>
        </is>
      </c>
      <c r="J32" s="20" t="inlineStr">
        <is>
          <t>14.139</t>
        </is>
      </c>
      <c r="K32" s="20" t="inlineStr">
        <is>
          <t>Multifamily Rental Projects in Designated Areas - Section 220</t>
        </is>
      </c>
      <c r="L32" s="20" t="inlineStr">
        <is>
          <t>To provide quality rental housing in urban renewal areas, code enforcement areas, and other areas designated for overall revitalization.</t>
        </is>
      </c>
      <c r="M32" s="20" t="inlineStr">
        <is>
          <t>Guaranteed / Insured Loans</t>
        </is>
      </c>
      <c r="N32" s="20" t="inlineStr">
        <is>
          <t>Individual/Family</t>
        </is>
      </c>
      <c r="O32" s="20" t="inlineStr">
        <is>
          <t>Individual/Family,Private nonprofit institution/organization (includes institutions of higher education and hospitals),Profit organization,Public nonprofit institution/organization (includes institutions of higher education and hospitals),Specialized group (e.g. health professionals, students, veterans)</t>
        </is>
      </c>
      <c r="P32" s="22" t="n">
        <v>0</v>
      </c>
      <c r="Q32" s="22" t="n">
        <v>0</v>
      </c>
      <c r="R32" s="22" t="n">
        <v>0</v>
      </c>
      <c r="S32" s="23" t="inlineStr">
        <is>
          <t>Underwriting only</t>
        </is>
      </c>
      <c r="T32" s="23" t="inlineStr">
        <is>
          <t>National Housing Act (FHA &amp; mortgage insurance)</t>
        </is>
      </c>
      <c r="U32" s="23" t="inlineStr">
        <is>
          <t>National Housing Act (12 U.S.C. 1701 et seq.)</t>
        </is>
      </c>
      <c r="V32" s="23" t="inlineStr">
        <is>
          <t>N/A (credit underwriting, no income limit)</t>
        </is>
      </c>
      <c r="W32" s="23" t="inlineStr">
        <is>
          <t>N/A</t>
        </is>
      </c>
      <c r="X32" s="23" t="inlineStr">
        <is>
          <t>Not applicable</t>
        </is>
      </c>
      <c r="Y32" s="23" t="inlineStr">
        <is>
          <t>Not applicable</t>
        </is>
      </c>
      <c r="Z32" s="23">
        <f>IF(X32="","",IF(X32="Excluded","Consistent",IF(X32="Counted","Inconsistent",IF(X32="Varies (grantee/agency choice)","Partly inconsistent",IF(X32="Not applicable","Not applicable","Needs check")))))</f>
        <v/>
      </c>
      <c r="AA32" s="23" t="inlineStr">
        <is>
          <t>No HUD low-income eligibility test. Borrower income is assessed only for ability to repay under FHA underwriting.</t>
        </is>
      </c>
      <c r="AB32" s="23" t="inlineStr">
        <is>
          <t>Mortgage insurance/credit programs test repayment capacity, not need.</t>
        </is>
      </c>
      <c r="AC32" s="23" t="inlineStr">
        <is>
          <t>Multifamily project mortgage insurance; no tenant income limits (Claude's understanding; not verified).</t>
        </is>
      </c>
      <c r="AD32" s="23" t="inlineStr">
        <is>
          <t>Not verified — low risk (not income-tested)</t>
        </is>
      </c>
    </row>
    <row r="33" ht="165.75" customHeight="1">
      <c r="A33" s="18" t="n">
        <v>46</v>
      </c>
      <c r="B33" s="19" t="inlineStr">
        <is>
          <t>Mortgage Insurance for Supplemental Loans for Multifamily and Healthcare Projects (Section 241)</t>
        </is>
      </c>
      <c r="C33" s="20" t="inlineStr">
        <is>
          <t>Supplemental Loan Insurance Multifamily Rental Housing</t>
        </is>
      </c>
      <c r="D33" s="19" t="inlineStr">
        <is>
          <t>Office of Housing — Multifamily Housing Programs</t>
        </is>
      </c>
      <c r="E33" s="20" t="inlineStr">
        <is>
          <t>Assistant Secretary for Housing -- Federal Housing Commissioner</t>
        </is>
      </c>
      <c r="F33" s="19" t="inlineStr">
        <is>
          <t>Mortgage insurance to finance repairs, improvements of, additions to, and equipment for, multifamily rental housing and healthcare facilities.</t>
        </is>
      </c>
      <c r="G33" s="19" t="inlineStr">
        <is>
          <t>Section 241 of the National Housing Act (12 U.S.C. 1715z-6).</t>
        </is>
      </c>
      <c r="H33" s="19" t="inlineStr">
        <is>
          <t>Regulations are at 24 CFR part 200 and 24 CFR part 241.</t>
        </is>
      </c>
      <c r="I33" s="21" t="inlineStr">
        <is>
          <t>https://www.hud.gov/program_offices/housing/mfh/progdesc/progsec241a</t>
        </is>
      </c>
      <c r="J33" s="20" t="inlineStr">
        <is>
          <t>14.151</t>
        </is>
      </c>
      <c r="K33" s="20" t="inlineStr">
        <is>
          <t>FHA Insured Rental Housing Supplemental Loans - 241(a)</t>
        </is>
      </c>
      <c r="L33" s="20" t="inlineStr">
        <is>
          <t>Section 241(a) insures lenders against loss on mortgage defaults on projects already insured by HUD or held by HUD. The program is intended to keep the project competitive, extend its economic life, and to finance the replacement of obsolete equipment. Insured mortgages finance repairs, additions, and improvements to multifamily projects, group practice facilities, hospitals, or nursing homes.</t>
        </is>
      </c>
      <c r="M33" s="20" t="inlineStr">
        <is>
          <t>Guaranteed / Insured Loans</t>
        </is>
      </c>
      <c r="N33" s="20" t="inlineStr">
        <is>
          <t>Land/Property Owner</t>
        </is>
      </c>
      <c r="O33" s="20" t="inlineStr">
        <is>
          <t>Private nonprofit institution/organization (includes institutions of higher education and hospitals),Profit organization,Public nonprofit institution/organization (includes institutions of higher education and hospitals),Specialized group (e.g. health professionals, students, veterans)</t>
        </is>
      </c>
      <c r="P33" s="22" t="n">
        <v>0</v>
      </c>
      <c r="Q33" s="22" t="n">
        <v>0</v>
      </c>
      <c r="R33" s="22" t="n">
        <v>0</v>
      </c>
      <c r="S33" s="23" t="inlineStr">
        <is>
          <t>Underwriting only</t>
        </is>
      </c>
      <c r="T33" s="23" t="inlineStr">
        <is>
          <t>National Housing Act (FHA &amp; mortgage insurance)</t>
        </is>
      </c>
      <c r="U33" s="23" t="inlineStr">
        <is>
          <t>National Housing Act (12 U.S.C. 1701 et seq.)</t>
        </is>
      </c>
      <c r="V33" s="23" t="inlineStr">
        <is>
          <t>N/A (credit underwriting, no income limit)</t>
        </is>
      </c>
      <c r="W33" s="23" t="inlineStr">
        <is>
          <t>N/A</t>
        </is>
      </c>
      <c r="X33" s="23" t="inlineStr">
        <is>
          <t>Not applicable</t>
        </is>
      </c>
      <c r="Y33" s="23" t="inlineStr">
        <is>
          <t>Not applicable</t>
        </is>
      </c>
      <c r="Z33" s="23">
        <f>IF(X33="","",IF(X33="Excluded","Consistent",IF(X33="Counted","Inconsistent",IF(X33="Varies (grantee/agency choice)","Partly inconsistent",IF(X33="Not applicable","Not applicable","Needs check")))))</f>
        <v/>
      </c>
      <c r="AA33" s="23" t="inlineStr">
        <is>
          <t>No HUD low-income eligibility test. Borrower income is assessed only for ability to repay under FHA underwriting.</t>
        </is>
      </c>
      <c r="AB33" s="23" t="inlineStr">
        <is>
          <t>Mortgage insurance/credit programs test repayment capacity, not need.</t>
        </is>
      </c>
      <c r="AC33" s="23" t="inlineStr">
        <is>
          <t>Multifamily project mortgage insurance; no tenant income limits (Claude's understanding; not verified).</t>
        </is>
      </c>
      <c r="AD33" s="23" t="inlineStr">
        <is>
          <t>Not verified — low risk (not income-tested)</t>
        </is>
      </c>
    </row>
    <row r="34" ht="111.75" customHeight="1">
      <c r="A34" s="18" t="n">
        <v>47</v>
      </c>
      <c r="B34" s="19" t="inlineStr">
        <is>
          <t>Multifamily Housing Service Coordinators</t>
        </is>
      </c>
      <c r="C34" s="20" t="inlineStr">
        <is>
          <t>Multifamily Housing Service Coordinators</t>
        </is>
      </c>
      <c r="D34" s="19" t="inlineStr">
        <is>
          <t>Office of Housing — Multifamily Housing Programs</t>
        </is>
      </c>
      <c r="E34" s="20" t="inlineStr">
        <is>
          <t>Assistant Secretary for Housing -- Federal Housing Commissioner</t>
        </is>
      </c>
      <c r="F34" s="19" t="inlineStr">
        <is>
          <t>Assistance to elderly individuals and persons with disabilities living in Federally insured and assisted multifamily housing to obtain voluntary supportive services.</t>
        </is>
      </c>
      <c r="G34" s="19" t="inlineStr">
        <is>
          <t>Section 202(g) of the National Housing Act (12 U.S.C. 1701q), section 8(d)(2) of the United States Housing Act of 1937 (42 U.S.C. 1437f(d)(2)), and sections 671, 676, and 683 of the Housing and Community Development Act of 1992 (42 U.S.C. 13631, 13632, and 13641). Program management must be in accordance with OMB’s.</t>
        </is>
      </c>
      <c r="H34" s="19" t="inlineStr">
        <is>
          <t>Uniform Guidance regulations at 2 CFR part 200.</t>
        </is>
      </c>
      <c r="I34" s="21" t="inlineStr">
        <is>
          <t>https://www.hud.gov/program_offices/housing/mfh/scp/scphome</t>
        </is>
      </c>
      <c r="J34" s="20" t="inlineStr">
        <is>
          <t>14.191</t>
        </is>
      </c>
      <c r="K34" s="20" t="inlineStr">
        <is>
          <t>Service Coordinator in Multifamily Housing</t>
        </is>
      </c>
      <c r="L34" s="20" t="inlineStr">
        <is>
          <t>To link elderly, especially frail and disabled, or disabled non-elderly assisted housing and neighborhood residents to supportive services in the general community; to prevent premature and unnecessary institutionalization; and, to assess individual service needs, determine eligibility for public services and make resource allocation decisions which enable residents to stay in the community longer.</t>
        </is>
      </c>
      <c r="M34" s="20" t="inlineStr">
        <is>
          <t>Project Grants</t>
        </is>
      </c>
      <c r="N34" s="20" t="inlineStr">
        <is>
          <t>Disabled (e.g. Deaf, Blind, Physically Disabled),Mentally Disabled,Senior Citizen (60+)</t>
        </is>
      </c>
      <c r="O34" s="20" t="inlineStr">
        <is>
          <t>Other public institution/organization,Private nonprofit institution/organization (includes institutions of higher education and hospitals),Profit organization</t>
        </is>
      </c>
      <c r="P34" s="22" t="n">
        <v>0</v>
      </c>
      <c r="Q34" s="22" t="n">
        <v>49206276.31</v>
      </c>
      <c r="R34" s="22" t="n">
        <v>101322095.65</v>
      </c>
      <c r="S34" s="23" t="inlineStr">
        <is>
          <t>Via underlying program</t>
        </is>
      </c>
      <c r="T34" s="23" t="inlineStr">
        <is>
          <t>Sec. 202 / Sec. 811 (elderly &amp; disabled housing)</t>
        </is>
      </c>
      <c r="U34" s="23" t="inlineStr">
        <is>
          <t>Eligibility inherited from the assisted multifamily programs (Section 8, 202, 811)</t>
        </is>
      </c>
      <c r="V34" s="23" t="inlineStr">
        <is>
          <t>N/A (no separate income determination)</t>
        </is>
      </c>
      <c r="W34" s="23" t="inlineStr">
        <is>
          <t>N/A</t>
        </is>
      </c>
      <c r="X34" s="23" t="inlineStr">
        <is>
          <t>Not applicable</t>
        </is>
      </c>
      <c r="Y34" s="23" t="inlineStr">
        <is>
          <t>Not applicable</t>
        </is>
      </c>
      <c r="Z34" s="23">
        <f>IF(X34="","",IF(X34="Excluded","Consistent",IF(X34="Counted","Inconsistent",IF(X34="Varies (grantee/agency choice)","Partly inconsistent",IF(X34="Not applicable","Not applicable","Needs check")))))</f>
        <v/>
      </c>
      <c r="AA34" s="23" t="inlineStr">
        <is>
          <t>No separate household income determination; participants are already income-qualified under the assisted multifamily programs (Section 8, 202, 811), where VA compensation is treated as shown on that program's row.</t>
        </is>
      </c>
      <c r="AB34" s="23" t="inlineStr">
        <is>
          <t>Program funds services, capital, or operations for households assisted under another program.</t>
        </is>
      </c>
      <c r="AC34" s="23" t="inlineStr">
        <is>
          <t>Grants fund service coordinators at assisted properties.</t>
        </is>
      </c>
      <c r="AD34" s="23" t="inlineStr">
        <is>
          <t>Not verified — low risk (not income-tested)</t>
        </is>
      </c>
    </row>
    <row r="35" ht="84.75" customHeight="1">
      <c r="A35" s="18" t="n">
        <v>48</v>
      </c>
      <c r="B35" s="19" t="inlineStr">
        <is>
          <t>Multifamily Mortgage Risk-Sharing Programs (Sections 542(b) and 542(c))</t>
        </is>
      </c>
      <c r="C35" s="20" t="inlineStr">
        <is>
          <t>Housing Finance Agencies (HFA) Risk Sharing</t>
        </is>
      </c>
      <c r="D35" s="19" t="inlineStr">
        <is>
          <t>Office of Housing — Multifamily Housing Programs</t>
        </is>
      </c>
      <c r="E35" s="20" t="inlineStr">
        <is>
          <t>Assistant Secretary for Housing -- Federal Housing Commissioner</t>
        </is>
      </c>
      <c r="F35" s="19" t="inlineStr">
        <is>
          <t>Two multifamily mortgage credit programs under which Fannie Mae, Freddie Mac, and State and local housing finance agencies share the risk and the mortgage insurance premium on multifamily housing.</t>
        </is>
      </c>
      <c r="G35" s="19" t="inlineStr">
        <is>
          <t>Section 542 of the Housing and Community Development Act of 1992 (12 U.S.C. 1715z-22).</t>
        </is>
      </c>
      <c r="H35" s="19" t="inlineStr">
        <is>
          <t>Regulations are at 24 CFR part 266 for the Section 542(c) program. Section 542(b) is implemented through a Federal Register notice and negotiated agreements without regulations.</t>
        </is>
      </c>
      <c r="I35" s="19" t="inlineStr">
        <is>
          <t>https://www.hud.gov/program_offices/housing/mfh/progdesc/progsec542b
https://www.hud.gov/program_offices/housing/mfh/progdesc/riskshare542c</t>
        </is>
      </c>
      <c r="J35" s="20" t="inlineStr">
        <is>
          <t>14.188</t>
        </is>
      </c>
      <c r="K35" s="20" t="inlineStr">
        <is>
          <t>HFA Risk Sharing Program - 542(c)</t>
        </is>
      </c>
      <c r="L35" s="20" t="inlineStr">
        <is>
          <t>Under Section 542(c), HUD provides credit enhancement for mortgages for multifamily housing projects whose loans are underwritten, processed, serviced, and disposed of by Housing Finance Agencies (HFA).  HUD and the qualified State and local HFAs share in the risk of the mortgage.</t>
        </is>
      </c>
      <c r="M35" s="20" t="inlineStr">
        <is>
          <t>Guaranteed / Insured Loans</t>
        </is>
      </c>
      <c r="N35" s="20" t="inlineStr">
        <is>
          <t>Anyone/general public,Individual/Family,Land/Property Owner</t>
        </is>
      </c>
      <c r="O35" s="20" t="inlineStr">
        <is>
          <t>Other public institution/organization,State</t>
        </is>
      </c>
      <c r="P35" s="22" t="n">
        <v>0</v>
      </c>
      <c r="Q35" s="22" t="n">
        <v>0</v>
      </c>
      <c r="R35" s="22" t="n">
        <v>0</v>
      </c>
      <c r="S35" s="23" t="inlineStr">
        <is>
          <t>Varies by component</t>
        </is>
      </c>
      <c r="T35" s="23" t="inlineStr">
        <is>
          <t>National Housing Act (FHA &amp; mortgage insurance)</t>
        </is>
      </c>
      <c r="U35" s="23" t="inlineStr">
        <is>
          <t>Housing and Community Development Act of 1992 §542 (12 U.S.C. 1715z-22)</t>
        </is>
      </c>
      <c r="V35" s="23" t="inlineStr">
        <is>
          <t>Not checked</t>
        </is>
      </c>
      <c r="W35" s="23" t="inlineStr">
        <is>
          <t>N/A</t>
        </is>
      </c>
      <c r="X35" s="23" t="inlineStr">
        <is>
          <t>Unclear / needs check</t>
        </is>
      </c>
      <c r="Y35" s="23" t="inlineStr">
        <is>
          <t>Not applicable</t>
        </is>
      </c>
      <c r="Z35" s="23">
        <f>IF(X35="","",IF(X35="Excluded","Consistent",IF(X35="Counted","Inconsistent",IF(X35="Varies (grantee/agency choice)","Partly inconsistent",IF(X35="Not applicable","Not applicable","Needs check")))))</f>
        <v/>
      </c>
      <c r="AA35" s="23" t="inlineStr">
        <is>
          <t>Risk-sharing loans are underwritten by the HFA/GSE; 542(c) projects must meet affordability set-asides, which require tenant income determinations whose definition was not checked.</t>
        </is>
      </c>
      <c r="AB35" s="23" t="inlineStr">
        <is>
          <t>Credit program with project-level affordability requirements.</t>
        </is>
      </c>
      <c r="AC35" s="23" t="inlineStr">
        <is>
          <t>If set-aside compliance follows LIHTC rules, Rev. Proc. 2024-38 would exclude VA service-connected benefits only for HUD-VASH tenants.</t>
        </is>
      </c>
      <c r="AD35" s="23" t="inlineStr">
        <is>
          <t>Not verified — needs check</t>
        </is>
      </c>
    </row>
    <row r="36" ht="138.75" customHeight="1">
      <c r="A36" s="18" t="n">
        <v>49</v>
      </c>
      <c r="B36" s="19" t="inlineStr">
        <is>
          <t>Multifamily Rental Housing for Moderate-Income Families (Section 221(d)(3) and (4))</t>
        </is>
      </c>
      <c r="C36" s="20" t="inlineStr">
        <is>
          <t>Mortgage Insurance Rental and Cooperative Housing for Moderate Income Families and Elderly, Market Interest Rate</t>
        </is>
      </c>
      <c r="D36" s="19" t="inlineStr">
        <is>
          <t>Office of Housing — Multifamily Housing Programs</t>
        </is>
      </c>
      <c r="E36" s="20" t="inlineStr">
        <is>
          <t>Assistant Secretary for Housing -- Federal Housing Commissioner</t>
        </is>
      </c>
      <c r="F36" s="19" t="inlineStr">
        <is>
          <t>Mortgage insurance to finance rental or cooperative multifamily housing for moderate-income households, including projects designated for the elderly. Section 221(d)(3) and (4) are HUD’s major insurance programs for newly constructed or substantially rehabilitated multifamily rental housing.</t>
        </is>
      </c>
      <c r="G36" s="19" t="inlineStr">
        <is>
          <t>Section 221 of the National Housing Act (12 U.S.C. 1715l). The 221(d)(3) program has no regulations.</t>
        </is>
      </c>
      <c r="H36" s="19" t="inlineStr">
        <is>
          <t>Regulations for the 221(d)(4) program are at 24 CFR part 200, and part 221, subparts C and D.</t>
        </is>
      </c>
      <c r="I36" s="21" t="inlineStr">
        <is>
          <t>https://www.hud.gov/program_offices/housing/mfh/progdesc/rentcoophsg221d3n4</t>
        </is>
      </c>
      <c r="J36" s="20" t="inlineStr">
        <is>
          <t>14.135</t>
        </is>
      </c>
      <c r="K36" s="20" t="inlineStr">
        <is>
          <t>New Construction or Substantial Rehabilitation of Rental Housing -221(d)(4)</t>
        </is>
      </c>
      <c r="L36" s="20" t="inlineStr">
        <is>
          <t>Section 221(d)(4) insures mortgage loans to facilitate the new construction or substantial rehabilitation of multifamily rental or cooperative housing for moderate-income families, elderly, and the handicapped. Single Room Occupancy (SRO) projects may also be insured under this section. (See program 14.184).</t>
        </is>
      </c>
      <c r="M36" s="20" t="inlineStr">
        <is>
          <t>Guaranteed / Insured Loans</t>
        </is>
      </c>
      <c r="N36" s="20" t="inlineStr">
        <is>
          <t>Anyone/general public,Individual/Family,Private nonprofit institution/organization,Profit organization,Public nonprofit institution/organization</t>
        </is>
      </c>
      <c r="O36" s="20" t="inlineStr">
        <is>
          <t>Individual/Family,Private nonprofit institution/organization (includes institutions of higher education and hospitals),Profit organization,Public nonprofit institution/organization (includes institutions of higher education and hospitals)</t>
        </is>
      </c>
      <c r="P36" s="22" t="n">
        <v>0</v>
      </c>
      <c r="Q36" s="22" t="n">
        <v>0</v>
      </c>
      <c r="R36" s="22" t="n">
        <v>0</v>
      </c>
      <c r="S36" s="23" t="inlineStr">
        <is>
          <t>Underwriting only</t>
        </is>
      </c>
      <c r="T36" s="23" t="inlineStr">
        <is>
          <t>National Housing Act (FHA &amp; mortgage insurance)</t>
        </is>
      </c>
      <c r="U36" s="23" t="inlineStr">
        <is>
          <t>National Housing Act §221(d)(3) and (d)(4) (12 U.S.C. 1715l)</t>
        </is>
      </c>
      <c r="V36" s="23" t="inlineStr">
        <is>
          <t>N/A (credit underwriting, no income limit)</t>
        </is>
      </c>
      <c r="W36" s="23" t="inlineStr">
        <is>
          <t>N/A</t>
        </is>
      </c>
      <c r="X36" s="23" t="inlineStr">
        <is>
          <t>Not applicable</t>
        </is>
      </c>
      <c r="Y36" s="23" t="inlineStr">
        <is>
          <t>Not applicable</t>
        </is>
      </c>
      <c r="Z36" s="23">
        <f>IF(X36="","",IF(X36="Excluded","Consistent",IF(X36="Counted","Inconsistent",IF(X36="Varies (grantee/agency choice)","Partly inconsistent",IF(X36="Not applicable","Not applicable","Needs check")))))</f>
        <v/>
      </c>
      <c r="AA36" s="23" t="inlineStr">
        <is>
          <t>No HUD low-income eligibility test. Borrower income is assessed only for ability to repay under FHA underwriting.</t>
        </is>
      </c>
      <c r="AB36" s="23" t="inlineStr">
        <is>
          <t>Mortgage insurance/credit programs test repayment capacity, not need.</t>
        </is>
      </c>
      <c r="AC36" s="23" t="inlineStr">
        <is>
          <t>221(d)(4) has no tenant income limits. Legacy 221(d)(3) BMIR projects have tenant income limits under HUD occupancy rules (Handbook 4350.3) — not separately classified here.</t>
        </is>
      </c>
      <c r="AD36" s="23" t="inlineStr">
        <is>
          <t>Not verified — low risk (not income-tested)</t>
        </is>
      </c>
    </row>
    <row r="37" ht="125.25" customHeight="1">
      <c r="A37" s="18" t="n">
        <v>50</v>
      </c>
      <c r="B37" s="19" t="inlineStr">
        <is>
          <t>Renewal of Section 8 Project-Based Rental Assistance</t>
        </is>
      </c>
      <c r="C37" s="20" t="inlineStr">
        <is>
          <t>Project-Based Rental Assistance (PBRA)</t>
        </is>
      </c>
      <c r="D37" s="19" t="inlineStr">
        <is>
          <t>Office of Housing — Multifamily Housing Programs</t>
        </is>
      </c>
      <c r="E37" s="20" t="inlineStr">
        <is>
          <t>Assistant Secretary for Housing -- Federal Housing Commissioner</t>
        </is>
      </c>
      <c r="F37" s="19" t="inlineStr">
        <is>
          <t>Assistance for extremely low-, low- and very low-income families to obtain decent, safe, and sanitary housing.</t>
        </is>
      </c>
      <c r="G37" s="19" t="inlineStr">
        <is>
          <t>For the renewal of Section 8 project-based assistance, see sections 515 and 524 of the Multifamily Assisted Housing Reform and Affordability Act of 1997 (42 U.S.C.</t>
        </is>
      </c>
      <c r="H37" s="19" t="inlineStr">
        <is>
          <t>1437f) and 24 CFR parts 401 and 402. For Section 8 requirements, see Section 8 regulations at 24 CFR parts 5, 402, 880, 881, 882, 883, 884, 886, and the Section 202 Projects for the Elderly or Handicapped—Section 8 Assistance regulations in 24 CFR part 891, subpart E.</t>
        </is>
      </c>
      <c r="I37" s="21" t="inlineStr">
        <is>
          <t>https://www.hud.gov/program_offices/housing/mfh/mfhsec8</t>
        </is>
      </c>
      <c r="J37" s="20" t="inlineStr">
        <is>
          <t>14.195</t>
        </is>
      </c>
      <c r="K37" s="20" t="inlineStr">
        <is>
          <t>(Project-based Section 8)</t>
        </is>
      </c>
      <c r="L37" s="20" t="inlineStr">
        <is>
          <t>To provide rental assistance to very low income individuals and families enabling them to live in affordable decent, safe and sanitary housing.</t>
        </is>
      </c>
      <c r="M37" s="20" t="inlineStr">
        <is>
          <t>Direct Payments for a Specified Use</t>
        </is>
      </c>
      <c r="N37" s="20" t="inlineStr">
        <is>
          <t>Individual/Family</t>
        </is>
      </c>
      <c r="O37" s="20" t="inlineStr">
        <is>
          <t>Profit organization</t>
        </is>
      </c>
      <c r="P37" s="22" t="n">
        <v>0</v>
      </c>
      <c r="Q37" s="22" t="n">
        <v>15853155252.17</v>
      </c>
      <c r="R37" s="22" t="n">
        <v>15053228146.21</v>
      </c>
      <c r="S37" s="23" t="inlineStr">
        <is>
          <t>Household income test</t>
        </is>
      </c>
      <c r="T37" s="23" t="inlineStr">
        <is>
          <t>U.S. Housing Act of 1937 (public housing &amp; Section 8)</t>
        </is>
      </c>
      <c r="U37" s="23" t="inlineStr">
        <is>
          <t>42 U.S.C. 1437a(b)(4); 24 CFR 5.609 (applied by 5.601)</t>
        </is>
      </c>
      <c r="V37" s="23" t="inlineStr">
        <is>
          <t>Part 5 annual income (24 CFR 5.609)</t>
        </is>
      </c>
      <c r="W37" s="23" t="inlineStr">
        <is>
          <t>Mandatory</t>
        </is>
      </c>
      <c r="X37" s="23" t="inlineStr">
        <is>
          <t>Counted</t>
        </is>
      </c>
      <c r="Y37" s="23" t="inlineStr">
        <is>
          <t>Counted</t>
        </is>
      </c>
      <c r="Z37" s="23">
        <f>IF(X37="","",IF(X37="Excluded","Consistent",IF(X37="Counted","Inconsistent",IF(X37="Varies (grantee/agency choice)","Partly inconsistent",IF(X37="Not applicable","Not applicable","Needs check")))))</f>
        <v/>
      </c>
      <c r="AA37" s="23" t="inlineStr">
        <is>
          <t>Current VA service-connected disability compensation is not among the 24 CFR 5.609(b) exclusions, so it is annual income. Only deferred VA disability amounts received as a lump sum or prospective monthly amounts (5.609(b)(16)) and aid &amp; attendance under 38 U.S.C. 1521 (5.609(b)(17)) are excluded; the statute (42 U.S.C. 1437a(b)(4)(B)(iii), (vi)) mirrors this.</t>
        </is>
      </c>
      <c r="AB37" s="23" t="inlineStr">
        <is>
          <t>The 1937 Act itself defines 'income' as income from all sources minus enumerated exclusions; HUD implements it uniformly through Part 5 because these programs set ongoing tenant rent from adjusted income (5.611).</t>
        </is>
      </c>
      <c r="AC37" s="23" t="inlineStr">
        <is>
          <t>Exception: HUD-VASH PBV and project-based units follow the HUD-VASH rule (see supplemental row).</t>
        </is>
      </c>
      <c r="AD37" s="23" t="inlineStr">
        <is>
          <t>Verified — primary source</t>
        </is>
      </c>
    </row>
    <row r="38" ht="84.75" customHeight="1">
      <c r="A38" s="18" t="n">
        <v>51</v>
      </c>
      <c r="B38" s="19" t="inlineStr">
        <is>
          <t>Supportive Housing for the Elderly (Section 202)</t>
        </is>
      </c>
      <c r="C38" s="20" t="inlineStr">
        <is>
          <t>Supportive Housing for the Elderly</t>
        </is>
      </c>
      <c r="D38" s="19" t="inlineStr">
        <is>
          <t>Office of Housing — Multifamily Housing Programs</t>
        </is>
      </c>
      <c r="E38" s="20" t="inlineStr">
        <is>
          <t>Assistant Secretary for Housing -- Federal Housing Commissioner</t>
        </is>
      </c>
      <c r="F38" s="19" t="inlineStr">
        <is>
          <t>Capital advances and project rental assistance contracts to expand the supply of affordable housing with voluntary supportive services for very low-income elderly persons.</t>
        </is>
      </c>
      <c r="G38" s="19" t="inlineStr">
        <is>
          <t>Section 202 of the Housing Act of 1959 (12 U.S.C. 1701q).</t>
        </is>
      </c>
      <c r="H38" s="19" t="inlineStr">
        <is>
          <t>Regulations are at 24 CFR part 891.</t>
        </is>
      </c>
      <c r="I38" s="21" t="inlineStr">
        <is>
          <t>https://www.hud.gov/program_offices/housing/mfh/progdesc/eld202</t>
        </is>
      </c>
      <c r="J38" s="20" t="inlineStr">
        <is>
          <t>14.157</t>
        </is>
      </c>
      <c r="K38" s="20" t="inlineStr">
        <is>
          <t>Section 202 Capital Advance</t>
        </is>
      </c>
      <c r="L38" s="20" t="inlineStr">
        <is>
          <t>To expand the supply of multifamily housing with supportive services for very low income elderly persons.</t>
        </is>
      </c>
      <c r="M38" s="20" t="inlineStr">
        <is>
          <t>Project Grants</t>
        </is>
      </c>
      <c r="N38" s="20" t="inlineStr">
        <is>
          <t>Low Income,Senior Citizen (60+)</t>
        </is>
      </c>
      <c r="O38" s="20" t="inlineStr">
        <is>
          <t>Private nonprofit institution/organization (includes institutions of higher education and hospitals)</t>
        </is>
      </c>
      <c r="P38" s="22" t="n">
        <v>0</v>
      </c>
      <c r="Q38" s="22" t="n">
        <v>1021136334.04</v>
      </c>
      <c r="R38" s="22" t="n">
        <v>751339942.5</v>
      </c>
      <c r="S38" s="23" t="inlineStr">
        <is>
          <t>Household income test</t>
        </is>
      </c>
      <c r="T38" s="23" t="inlineStr">
        <is>
          <t>Sec. 202 / Sec. 811 (elderly &amp; disabled housing)</t>
        </is>
      </c>
      <c r="U38" s="23" t="inlineStr">
        <is>
          <t>Housing Act of 1959 §202; 24 CFR 5.601 (applies Part 5 subpart F to Section 202); 24 CFR part 891</t>
        </is>
      </c>
      <c r="V38" s="23" t="inlineStr">
        <is>
          <t>Part 5 annual income (24 CFR 5.609)</t>
        </is>
      </c>
      <c r="W38" s="23" t="inlineStr">
        <is>
          <t>Mandatory</t>
        </is>
      </c>
      <c r="X38" s="23" t="inlineStr">
        <is>
          <t>Counted</t>
        </is>
      </c>
      <c r="Y38" s="23" t="inlineStr">
        <is>
          <t>Counted</t>
        </is>
      </c>
      <c r="Z38" s="23">
        <f>IF(X38="","",IF(X38="Excluded","Consistent",IF(X38="Counted","Inconsistent",IF(X38="Varies (grantee/agency choice)","Partly inconsistent",IF(X38="Not applicable","Not applicable","Needs check")))))</f>
        <v/>
      </c>
      <c r="AA38" s="23" t="inlineStr">
        <is>
          <t>Current VA service-connected disability compensation is not among the 24 CFR 5.609(b) exclusions, so it is annual income. Only deferred VA disability amounts received as a lump sum or prospective monthly amounts (5.609(b)(16)) and aid &amp; attendance under 38 U.S.C. 1521 (5.609(b)(17)) are excluded; the statute (42 U.S.C. 1437a(b)(4)(B)(iii), (vi)) mirrors this.</t>
        </is>
      </c>
      <c r="AB38" s="23" t="inlineStr">
        <is>
          <t>Section 202 isn't a 1937 Act program, but HUD applies the Part 5 income rules to it by regulation (5.601; part 891) so assisted elderly housing uses the same rent-setting income measure.</t>
        </is>
      </c>
      <c r="AC38" s="23" t="n"/>
      <c r="AD38" s="23" t="inlineStr">
        <is>
          <t>Verified — primary source</t>
        </is>
      </c>
    </row>
    <row r="39" ht="111.75" customHeight="1">
      <c r="A39" s="18" t="n">
        <v>52</v>
      </c>
      <c r="B39" s="19" t="inlineStr">
        <is>
          <t>Supportive Housing for Persons with Disabilities (Section 811) and the Section 811 Project Rental Assistance (Section 811 PRA) program</t>
        </is>
      </c>
      <c r="C39" s="20" t="inlineStr">
        <is>
          <t>Supportive Housing for Persons with Disabilities</t>
        </is>
      </c>
      <c r="D39" s="19" t="inlineStr">
        <is>
          <t>Office of Housing — Multifamily Housing Programs</t>
        </is>
      </c>
      <c r="E39" s="20" t="inlineStr">
        <is>
          <t>Assistant Secretary for Housing -- Federal Housing Commissioner</t>
        </is>
      </c>
      <c r="F39" s="19" t="inlineStr">
        <is>
          <t>Rental Assistance (Section 811 PRA) program Assistance for housing and voluntary supportive services for extremely-low income persons with disabilities who are between the ages of 18 and 62, and promotion of community integration for low- and extremely low-income persons with disabilities.</t>
        </is>
      </c>
      <c r="G39" s="19" t="inlineStr">
        <is>
          <t>Section 811 of the Cranston-Gonzalez National Affordable Housing Act (42 U.S.C. 8013).</t>
        </is>
      </c>
      <c r="H39" s="19" t="inlineStr">
        <is>
          <t>Regulations for the Section 811 capital advance program are at 24 CFR part 891. There are no regulations for the Section 811 PRA program.</t>
        </is>
      </c>
      <c r="I39" s="21" t="inlineStr">
        <is>
          <t>https://www.hud.gov/program_offices/housing/mfh/progdesc/disab811</t>
        </is>
      </c>
      <c r="J39" s="20" t="inlineStr">
        <is>
          <t>14.181</t>
        </is>
      </c>
      <c r="K39" s="20" t="inlineStr">
        <is>
          <t>Section 811 Capital Advance</t>
        </is>
      </c>
      <c r="L39" s="20" t="inlineStr">
        <is>
          <t>To expand the supply of supportive housing for very low-income persons with disabilities.</t>
        </is>
      </c>
      <c r="M39" s="20" t="inlineStr">
        <is>
          <t>Project Grants</t>
        </is>
      </c>
      <c r="N39" s="20" t="inlineStr">
        <is>
          <t>Alcoholic,Disabled (e.g. Deaf, Blind, Physically Disabled),Drug Addict,Individual/Family,Low Income,Mentally Disabled,Physically Afflicted (e.g. TB, Arthritis, Heart Disease)</t>
        </is>
      </c>
      <c r="O39" s="20" t="inlineStr">
        <is>
          <t>Private nonprofit institution/organization (includes institutions of higher education and hospitals)</t>
        </is>
      </c>
      <c r="P39" s="22" t="n">
        <v>0</v>
      </c>
      <c r="Q39" s="22" t="n">
        <v>193705037.9</v>
      </c>
      <c r="R39" s="22" t="n">
        <v>193905083.05</v>
      </c>
      <c r="S39" s="23" t="inlineStr">
        <is>
          <t>Household income test</t>
        </is>
      </c>
      <c r="T39" s="23" t="inlineStr">
        <is>
          <t>Sec. 202 / Sec. 811 (elderly &amp; disabled housing)</t>
        </is>
      </c>
      <c r="U39" s="23" t="inlineStr">
        <is>
          <t>Cranston-Gonzalez NAHA §811 (42 U.S.C. 8013); 24 CFR 5.601; 24 CFR part 891</t>
        </is>
      </c>
      <c r="V39" s="23" t="inlineStr">
        <is>
          <t>Part 5 annual income (24 CFR 5.609)</t>
        </is>
      </c>
      <c r="W39" s="23" t="inlineStr">
        <is>
          <t>Mandatory</t>
        </is>
      </c>
      <c r="X39" s="23" t="inlineStr">
        <is>
          <t>Counted</t>
        </is>
      </c>
      <c r="Y39" s="23" t="inlineStr">
        <is>
          <t>Counted</t>
        </is>
      </c>
      <c r="Z39" s="23">
        <f>IF(X39="","",IF(X39="Excluded","Consistent",IF(X39="Counted","Inconsistent",IF(X39="Varies (grantee/agency choice)","Partly inconsistent",IF(X39="Not applicable","Not applicable","Needs check")))))</f>
        <v/>
      </c>
      <c r="AA39" s="23" t="inlineStr">
        <is>
          <t>Current VA service-connected disability compensation is not among the 24 CFR 5.609(b) exclusions, so it is annual income. Only deferred VA disability amounts received as a lump sum or prospective monthly amounts (5.609(b)(16)) and aid &amp; attendance under 38 U.S.C. 1521 (5.609(b)(17)) are excluded; the statute (42 U.S.C. 1437a(b)(4)(B)(iii), (vi)) mirrors this.</t>
        </is>
      </c>
      <c r="AB39" s="23" t="inlineStr">
        <is>
          <t>Section 811 isn't a 1937 Act program, but HUD applies the Part 5 income rules to it by regulation (5.601; part 891).</t>
        </is>
      </c>
      <c r="AC39" s="23" t="n"/>
      <c r="AD39" s="23" t="inlineStr">
        <is>
          <t>Verified — primary source</t>
        </is>
      </c>
    </row>
    <row r="40" ht="125.25" customHeight="1">
      <c r="A40" s="18" t="n">
        <v>52</v>
      </c>
      <c r="B40" s="19" t="inlineStr">
        <is>
          <t>Supportive Housing for Persons with Disabilities (Section 811) and the Section 811 Project Rental Assistance (Section 811 PRA) program</t>
        </is>
      </c>
      <c r="C40" s="20" t="inlineStr">
        <is>
          <t>Project Rental Assistance Demonstration (PRA Demo) Program of Section 811 Supportive Housing for Persons with Disabilities</t>
        </is>
      </c>
      <c r="D40" s="19" t="inlineStr">
        <is>
          <t>Office of Housing — Multifamily Housing Programs</t>
        </is>
      </c>
      <c r="E40" s="20" t="inlineStr">
        <is>
          <t>Assistant Secretary for Housing -- Federal Housing Commissioner</t>
        </is>
      </c>
      <c r="F40" s="19" t="inlineStr">
        <is>
          <t>Rental Assistance (Section 811 PRA) program Assistance for housing and voluntary supportive services for extremely-low income persons with disabilities who are between the ages of 18 and 62, and promotion of community integration for low- and extremely low-income persons with disabilities.</t>
        </is>
      </c>
      <c r="G40" s="19" t="inlineStr">
        <is>
          <t>Section 811 of the Cranston-Gonzalez National Affordable Housing Act (42 U.S.C. 8013).</t>
        </is>
      </c>
      <c r="H40" s="19" t="inlineStr">
        <is>
          <t>Regulations for the Section 811 capital advance program are at 24 CFR part 891. There are no regulations for the Section 811 PRA program.</t>
        </is>
      </c>
      <c r="I40" s="21" t="inlineStr">
        <is>
          <t>https://www.hud.gov/program_offices/housing/mfh/progdesc/disab811</t>
        </is>
      </c>
      <c r="J40" s="20" t="inlineStr">
        <is>
          <t>14.326</t>
        </is>
      </c>
      <c r="K40" s="20" t="inlineStr">
        <is>
          <t>Section 811 PRA</t>
        </is>
      </c>
      <c r="L40" s="20" t="inlineStr">
        <is>
          <t>The Project Rental Assistance (PRA) provides funding to state housing agencies for project-based rental operating assistance for extremely low-income persons with disabilties.  The primary purpose is to identify, stimulate, and support innovate state-level strategies that will transform and increase housing for low-income persons with disabilities while also making available appropriate support and services.</t>
        </is>
      </c>
      <c r="M40" s="20" t="inlineStr">
        <is>
          <t>Project Grants</t>
        </is>
      </c>
      <c r="N40" s="20" t="inlineStr">
        <is>
          <t>Disabled (e.g. Deaf, Blind, Physically Disabled),Individual/Family,Low Income</t>
        </is>
      </c>
      <c r="O40" s="20" t="inlineStr">
        <is>
          <t>Local (includes State-designated lndian Tribes, excludes institutions of higher education and hospitals,State (includes District of Columbia, public institutions of higher education and hospitals)</t>
        </is>
      </c>
      <c r="P40" s="22" t="n">
        <v>0</v>
      </c>
      <c r="Q40" s="22" t="n">
        <v>22911882.74</v>
      </c>
      <c r="R40" s="22" t="n">
        <v>3547685.34</v>
      </c>
      <c r="S40" s="23" t="inlineStr">
        <is>
          <t>Household income test</t>
        </is>
      </c>
      <c r="T40" s="23" t="inlineStr">
        <is>
          <t>Sec. 202 / Sec. 811 (elderly &amp; disabled housing)</t>
        </is>
      </c>
      <c r="U40" s="23" t="inlineStr">
        <is>
          <t>42 U.S.C. 8013 (Section 811 PRA); 24 CFR 5.601</t>
        </is>
      </c>
      <c r="V40" s="23" t="inlineStr">
        <is>
          <t>Part 5 annual income (24 CFR 5.609)</t>
        </is>
      </c>
      <c r="W40" s="23" t="inlineStr">
        <is>
          <t>Mandatory</t>
        </is>
      </c>
      <c r="X40" s="23" t="inlineStr">
        <is>
          <t>Counted</t>
        </is>
      </c>
      <c r="Y40" s="23" t="inlineStr">
        <is>
          <t>Counted</t>
        </is>
      </c>
      <c r="Z40" s="23">
        <f>IF(X40="","",IF(X40="Excluded","Consistent",IF(X40="Counted","Inconsistent",IF(X40="Varies (grantee/agency choice)","Partly inconsistent",IF(X40="Not applicable","Not applicable","Needs check")))))</f>
        <v/>
      </c>
      <c r="AA40" s="23" t="inlineStr">
        <is>
          <t>Current VA service-connected disability compensation is not among the 24 CFR 5.609(b) exclusions, so it is annual income. Only deferred VA disability amounts received as a lump sum or prospective monthly amounts (5.609(b)(16)) and aid &amp; attendance under 38 U.S.C. 1521 (5.609(b)(17)) are excluded; the statute (42 U.S.C. 1437a(b)(4)(B)(iii), (vi)) mirrors this.</t>
        </is>
      </c>
      <c r="AB40" s="23" t="inlineStr">
        <is>
          <t>Section 811 PRA rental assistance uses the same Part 5 income rules as other 811 assistance.</t>
        </is>
      </c>
      <c r="AC40" s="23" t="inlineStr">
        <is>
          <t>Application of 5.601 to the PRA Demo inferred from its Section 811 authority.</t>
        </is>
      </c>
      <c r="AD40" s="23" t="inlineStr">
        <is>
          <t>Partly verified</t>
        </is>
      </c>
    </row>
    <row r="41" ht="84.75" customHeight="1">
      <c r="A41" s="18" t="n">
        <v>54</v>
      </c>
      <c r="B41" s="19" t="inlineStr">
        <is>
          <t>Hospitals (Section 242)</t>
        </is>
      </c>
      <c r="C41" s="20" t="inlineStr">
        <is>
          <t>Mortgage Insurance Hospitals</t>
        </is>
      </c>
      <c r="D41" s="19" t="inlineStr">
        <is>
          <t>Office of Housing — Healthcare Programs</t>
        </is>
      </c>
      <c r="E41" s="20" t="inlineStr">
        <is>
          <t>Assistant Secretary for Housing -- Federal Housing Commissioner</t>
        </is>
      </c>
      <c r="F41" s="19" t="inlineStr">
        <is>
          <t>Mortgage insurance to finance construction or rehabilitation of public or private nonprofit and proprietary hospitals, including major movable equipment.</t>
        </is>
      </c>
      <c r="G41" s="19" t="inlineStr">
        <is>
          <t>Section 242 of the National Housing Act (12 U.S.C. 1715z-7) and Section 223(f) (12 U.S.C. 1715n(f)).</t>
        </is>
      </c>
      <c r="H41" s="19" t="inlineStr">
        <is>
          <t>Regulations are at 24 CFR part 242.</t>
        </is>
      </c>
      <c r="I41" s="21" t="inlineStr">
        <is>
          <t>https://www.hud.gov/federal_housing_administration/healthcare_facilities/section_242</t>
        </is>
      </c>
      <c r="J41" s="20" t="inlineStr">
        <is>
          <t>14.128</t>
        </is>
      </c>
      <c r="K41" s="20" t="inlineStr">
        <is>
          <t>(Section 242 - Mortgage Insurance for Hospitals)</t>
        </is>
      </c>
      <c r="L41" s="20" t="inlineStr">
        <is>
          <t>To facilitate the affordable financing of hospitals for the care and treatment of persons who are acutely ill or who otherwise require medical care and related services of the kind customarily furnished only or most effectively by hospitals.</t>
        </is>
      </c>
      <c r="M41" s="20" t="inlineStr">
        <is>
          <t>Guaranteed / Insured Loans</t>
        </is>
      </c>
      <c r="N41" s="20" t="inlineStr">
        <is>
          <t>Disabled (e.g. Deaf, Blind, Physically Disabled),Individual/Family,Physically Afflicted (e.g. TB, Arthritis, Heart Disease)</t>
        </is>
      </c>
      <c r="O41" s="20" t="inlineStr">
        <is>
          <t>Private nonprofit institution/organization (includes institutions of higher education and hospitals),Profit organization</t>
        </is>
      </c>
      <c r="P41" s="22" t="n">
        <v>0</v>
      </c>
      <c r="Q41" s="22" t="n">
        <v>0</v>
      </c>
      <c r="R41" s="22" t="n">
        <v>0</v>
      </c>
      <c r="S41" s="23" t="inlineStr">
        <is>
          <t>Underwriting only</t>
        </is>
      </c>
      <c r="T41" s="23" t="inlineStr">
        <is>
          <t>National Housing Act (FHA &amp; mortgage insurance)</t>
        </is>
      </c>
      <c r="U41" s="23" t="inlineStr">
        <is>
          <t>National Housing Act (12 U.S.C. 1701 et seq.)</t>
        </is>
      </c>
      <c r="V41" s="23" t="inlineStr">
        <is>
          <t>N/A (credit underwriting, no income limit)</t>
        </is>
      </c>
      <c r="W41" s="23" t="inlineStr">
        <is>
          <t>N/A</t>
        </is>
      </c>
      <c r="X41" s="23" t="inlineStr">
        <is>
          <t>Not applicable</t>
        </is>
      </c>
      <c r="Y41" s="23" t="inlineStr">
        <is>
          <t>Not applicable</t>
        </is>
      </c>
      <c r="Z41" s="23">
        <f>IF(X41="","",IF(X41="Excluded","Consistent",IF(X41="Counted","Inconsistent",IF(X41="Varies (grantee/agency choice)","Partly inconsistent",IF(X41="Not applicable","Not applicable","Needs check")))))</f>
        <v/>
      </c>
      <c r="AA41" s="23" t="inlineStr">
        <is>
          <t>No HUD low-income eligibility test. Borrower income is assessed only for ability to repay under FHA underwriting.</t>
        </is>
      </c>
      <c r="AB41" s="23" t="inlineStr">
        <is>
          <t>Mortgage insurance/credit programs test repayment capacity, not need.</t>
        </is>
      </c>
      <c r="AC41" s="23" t="inlineStr">
        <is>
          <t>Hospital mortgage insurance; no household beneficiaries.</t>
        </is>
      </c>
      <c r="AD41" s="23" t="inlineStr">
        <is>
          <t>Not verified — low risk (not income-tested)</t>
        </is>
      </c>
    </row>
    <row r="42" ht="138.75" customHeight="1">
      <c r="A42" s="18" t="n">
        <v>55</v>
      </c>
      <c r="B42" s="19" t="inlineStr">
        <is>
          <t>New Construction or Substantial Rehabilitation of Nursing Homes, Intermediate Care Facilities, Board and Care Homes, and Assisted Living Facilities (Section 232)</t>
        </is>
      </c>
      <c r="C42" s="20" t="inlineStr">
        <is>
          <t>Mortgage Insurance Nursing Homes, Intermediate Care Facilities, Board and Care Homes and Assisted Living Facilities</t>
        </is>
      </c>
      <c r="D42" s="19" t="inlineStr">
        <is>
          <t>Office of Housing — Healthcare Programs</t>
        </is>
      </c>
      <c r="E42" s="20" t="inlineStr">
        <is>
          <t>Assistant Secretary for Housing -- Federal Housing Commissioner</t>
        </is>
      </c>
      <c r="F42" s="19" t="inlineStr">
        <is>
          <t>Facilities, Board and Care Homes, and Assisted Living Facilities (Section 232) Mortgage insurance to finance the purchase, refinancing, construction, acquisition, or substantial rehabilitation of nursing homes, assisted-living, intermediate care, board and care facilities, and fire safety equipment.</t>
        </is>
      </c>
      <c r="G42" s="19" t="inlineStr">
        <is>
          <t>Sections 232 (12 U.S.C. 1715w) and 223(f) (12 U.S.C. 1715n(f)) of the National Housing Act.</t>
        </is>
      </c>
      <c r="H42" s="19" t="inlineStr">
        <is>
          <t>Regulations are at 24 CFR part 200, and part 232.</t>
        </is>
      </c>
      <c r="I42" s="21" t="inlineStr">
        <is>
          <t>https://www.hud.gov/federal_housing_administration/healthcare_facilities/residential_care</t>
        </is>
      </c>
      <c r="J42" s="20" t="inlineStr">
        <is>
          <t>14.129</t>
        </is>
      </c>
      <c r="K42" s="20" t="inlineStr">
        <is>
          <t>Section (232)</t>
        </is>
      </c>
      <c r="L42" s="20" t="inlineStr">
        <is>
          <t>To provide mortgage insurance to HUD-approved lenders to facilitate the construction or rehabilitation of nursing homes, intermediate care facilities, board and care homes and assisted living facilities, to allow purchase or refinancing with or without repairs of projects not requiring  substantial rehabilitation, and to provide loan insurance to install  fire safety equipment.</t>
        </is>
      </c>
      <c r="M42" s="20" t="inlineStr">
        <is>
          <t>Guaranteed / Insured Loans</t>
        </is>
      </c>
      <c r="N42" s="20" t="inlineStr">
        <is>
          <t>Disabled (e.g. Deaf, Blind, Physically Disabled),Physically Afflicted (e.g. TB, Arthritis, Heart Disease)</t>
        </is>
      </c>
      <c r="O42" s="20" t="inlineStr">
        <is>
          <t>Other private institutions/organizations,Private nonprofit institution/organization (includes institutions of higher education and hospitals),Profit organization,Specialized group (e.g. health professionals, students, veterans)</t>
        </is>
      </c>
      <c r="P42" s="22" t="n">
        <v>0</v>
      </c>
      <c r="Q42" s="22" t="n">
        <v>0</v>
      </c>
      <c r="R42" s="22" t="n">
        <v>0</v>
      </c>
      <c r="S42" s="23" t="inlineStr">
        <is>
          <t>Underwriting only</t>
        </is>
      </c>
      <c r="T42" s="23" t="inlineStr">
        <is>
          <t>National Housing Act (FHA &amp; mortgage insurance)</t>
        </is>
      </c>
      <c r="U42" s="23" t="inlineStr">
        <is>
          <t>National Housing Act (12 U.S.C. 1701 et seq.)</t>
        </is>
      </c>
      <c r="V42" s="23" t="inlineStr">
        <is>
          <t>N/A (credit underwriting, no income limit)</t>
        </is>
      </c>
      <c r="W42" s="23" t="inlineStr">
        <is>
          <t>N/A</t>
        </is>
      </c>
      <c r="X42" s="23" t="inlineStr">
        <is>
          <t>Not applicable</t>
        </is>
      </c>
      <c r="Y42" s="23" t="inlineStr">
        <is>
          <t>Not applicable</t>
        </is>
      </c>
      <c r="Z42" s="23">
        <f>IF(X42="","",IF(X42="Excluded","Consistent",IF(X42="Counted","Inconsistent",IF(X42="Varies (grantee/agency choice)","Partly inconsistent",IF(X42="Not applicable","Not applicable","Needs check")))))</f>
        <v/>
      </c>
      <c r="AA42" s="23" t="inlineStr">
        <is>
          <t>No HUD low-income eligibility test. Borrower income is assessed only for ability to repay under FHA underwriting.</t>
        </is>
      </c>
      <c r="AB42" s="23" t="inlineStr">
        <is>
          <t>Mortgage insurance/credit programs test repayment capacity, not need.</t>
        </is>
      </c>
      <c r="AC42" s="23" t="inlineStr">
        <is>
          <t>Health care facility mortgage insurance; no household income test.</t>
        </is>
      </c>
      <c r="AD42" s="23" t="inlineStr">
        <is>
          <t>Not verified — low risk (not income-tested)</t>
        </is>
      </c>
    </row>
    <row r="43" ht="229.5" customHeight="1">
      <c r="A43" s="18" t="n">
        <v>56</v>
      </c>
      <c r="B43" s="19" t="inlineStr">
        <is>
          <t>Housing Counseling Program</t>
        </is>
      </c>
      <c r="C43" s="20" t="inlineStr">
        <is>
          <t>Housing Counseling Program Homeownership Initiative</t>
        </is>
      </c>
      <c r="D43" s="19" t="inlineStr">
        <is>
          <t>Office of Housing — Office of Housing Counseling</t>
        </is>
      </c>
      <c r="E43" s="20" t="inlineStr">
        <is>
          <t>Assistant Secretary for Housing -- Federal Housing Commissioner</t>
        </is>
      </c>
      <c r="F43" s="19" t="inlineStr">
        <is>
          <t>Provides regulatory oversight and capacity building to HUD-approved Housing Counseling Agencies and HUD-certified counselors and awards grants to facilitate housing counseling services, addressing such needs as purchasing or renting a home, preventing foreclosure and eviction, and diminishing homelessness.</t>
        </is>
      </c>
      <c r="G43" s="19" t="inlineStr">
        <is>
          <t>Section 4(g)(3) of the Department of Housing and Urban Development Act of 1965 (42 U.S.C. 3533(g)(3)) and section 106 of the Housing and Urban Development Act of 1968 (12 U.S.C. 1701x).</t>
        </is>
      </c>
      <c r="H43" s="19" t="inlineStr">
        <is>
          <t>Regulations are at 24 CFR part 206, subpart E and part 214.</t>
        </is>
      </c>
      <c r="I43" s="21" t="inlineStr">
        <is>
          <t>https://www.hudexchange.info/programs/housingcounseling/program-description/</t>
        </is>
      </c>
      <c r="J43" s="20" t="inlineStr">
        <is>
          <t>14.022</t>
        </is>
      </c>
      <c r="K43" s="20" t="n"/>
      <c r="L43" s="20" t="inlineStr">
        <is>
          <t>The Homeownership Initiative (HI) helps to bridge the homeownership gap by increasing homeownership rates among historically underserved borrowers. HUD-approved Intermediaries, Multi-State Organizations, and State Housing Finance Agencies will receive fixed amount awards to provide culturally sensitive linguistically appropriate pre-purchase and post-purchase counseling that results in home purchase.</t>
        </is>
      </c>
      <c r="M43" s="20" t="inlineStr">
        <is>
          <t>Project Grants</t>
        </is>
      </c>
      <c r="N43" s="20" t="n"/>
      <c r="O43" s="20" t="inlineStr">
        <is>
          <t>Local (includes State-designated lndian Tribes, excludes institutions of higher education and hospitals,Other private institutions/organizations,Other public institution/organization,Private nonprofit institution/organization (includes institutions of higher education and hospitals),Public nonprofit institution/organization (includes institutions of higher education and hospitals),State,State (includes District of Columbia, public institutions of higher education and hospitals)</t>
        </is>
      </c>
      <c r="P43" s="22" t="n">
        <v>0</v>
      </c>
      <c r="Q43" s="22" t="n">
        <v>10000000</v>
      </c>
      <c r="R43" s="22" t="n">
        <v>0</v>
      </c>
      <c r="S43" s="23" t="inlineStr">
        <is>
          <t>Not income-tested</t>
        </is>
      </c>
      <c r="T43" s="23" t="inlineStr">
        <is>
          <t>Other statutes &amp; appropriations</t>
        </is>
      </c>
      <c r="U43" s="23" t="inlineStr">
        <is>
          <t>Housing and Urban Development Act of 1968 §106 (12 U.S.C. 1701x)</t>
        </is>
      </c>
      <c r="V43" s="23" t="inlineStr">
        <is>
          <t>N/A</t>
        </is>
      </c>
      <c r="W43" s="23" t="inlineStr">
        <is>
          <t>N/A</t>
        </is>
      </c>
      <c r="X43" s="23" t="inlineStr">
        <is>
          <t>Not applicable</t>
        </is>
      </c>
      <c r="Y43" s="23" t="inlineStr">
        <is>
          <t>Not applicable</t>
        </is>
      </c>
      <c r="Z43" s="23">
        <f>IF(X43="","",IF(X43="Excluded","Consistent",IF(X43="Counted","Inconsistent",IF(X43="Varies (grantee/agency choice)","Partly inconsistent",IF(X43="Not applicable","Not applicable","Needs check")))))</f>
        <v/>
      </c>
      <c r="AA43" s="23" t="inlineStr">
        <is>
          <t>No household income eligibility test: housing counseling is available regardless of income.</t>
        </is>
      </c>
      <c r="AB43" s="23" t="inlineStr">
        <is>
          <t>Not a means-tested household benefit.</t>
        </is>
      </c>
      <c r="AC43" s="23" t="n"/>
      <c r="AD43" s="23" t="inlineStr">
        <is>
          <t>Not verified — low risk (not income-tested)</t>
        </is>
      </c>
    </row>
    <row r="44" ht="229.5" customHeight="1">
      <c r="A44" s="18" t="n">
        <v>56</v>
      </c>
      <c r="B44" s="19" t="inlineStr">
        <is>
          <t>Housing Counseling Program</t>
        </is>
      </c>
      <c r="C44" s="20" t="inlineStr">
        <is>
          <t>Housing Counseling Assistance Program</t>
        </is>
      </c>
      <c r="D44" s="19" t="inlineStr">
        <is>
          <t>Office of Housing — Office of Housing Counseling</t>
        </is>
      </c>
      <c r="E44" s="20" t="inlineStr">
        <is>
          <t>Assistant Secretary for Housing -- Federal Housing Commissioner</t>
        </is>
      </c>
      <c r="F44" s="19" t="inlineStr">
        <is>
          <t>Provides regulatory oversight and capacity building to HUD-approved Housing Counseling Agencies and HUD-certified counselors and awards grants to facilitate housing counseling services, addressing such needs as purchasing or renting a home, preventing foreclosure and eviction, and diminishing homelessness.</t>
        </is>
      </c>
      <c r="G44" s="19" t="inlineStr">
        <is>
          <t>Section 4(g)(3) of the Department of Housing and Urban Development Act of 1965 (42 U.S.C. 3533(g)(3)) and section 106 of the Housing and Urban Development Act of 1968 (12 U.S.C. 1701x).</t>
        </is>
      </c>
      <c r="H44" s="19" t="inlineStr">
        <is>
          <t>Regulations are at 24 CFR part 206, subpart E and part 214.</t>
        </is>
      </c>
      <c r="I44" s="21" t="inlineStr">
        <is>
          <t>https://www.hudexchange.info/programs/housingcounseling/program-description/</t>
        </is>
      </c>
      <c r="J44" s="20" t="inlineStr">
        <is>
          <t>14.169</t>
        </is>
      </c>
      <c r="K44" s="20" t="inlineStr">
        <is>
          <t>Comprehensive Housing Counseling NOFA</t>
        </is>
      </c>
      <c r="L44" s="20" t="inlineStr">
        <is>
          <t>Provide funds to HUD-approved housing counseling agencies that provide counseling and advice to tenants and homeowners, with respect to property maintenance, financial management and literacy, and other matters as may be appropriate to assist program clients in improving their housing conditions, meeting their financial needs, and fulfilling the responsibilities of tenancy or homeownership.</t>
        </is>
      </c>
      <c r="M44" s="20" t="inlineStr">
        <is>
          <t>Project Grants</t>
        </is>
      </c>
      <c r="N44" s="20" t="inlineStr">
        <is>
          <t>Federal,Local,Other private institution/organization,Other public institution/organization,Private nonprofit institution/organization,Profit organization,Public nonprofit institution/organization,State</t>
        </is>
      </c>
      <c r="O44" s="20" t="inlineStr">
        <is>
          <t>Federal,Intrastate,Local (includes State-designated lndian Tribes, excludes institutions of higher education and hospitals,Other private institutions/organizations,Other public institution/organization,Private nonprofit institution/organization (includes institutions of higher education and hospitals),Public nonprofit institution/organization (includes institutions of higher education and hospitals),Specialized group (e.g. health professionals, students, veterans),State (includes District of Columbia, public institutions of higher education and hospitals)</t>
        </is>
      </c>
      <c r="P44" s="22" t="n">
        <v>0</v>
      </c>
      <c r="Q44" s="22" t="n">
        <v>84759423.72</v>
      </c>
      <c r="R44" s="22" t="n">
        <v>13890177.88</v>
      </c>
      <c r="S44" s="23" t="inlineStr">
        <is>
          <t>Not income-tested</t>
        </is>
      </c>
      <c r="T44" s="23" t="inlineStr">
        <is>
          <t>Other statutes &amp; appropriations</t>
        </is>
      </c>
      <c r="U44" s="23" t="inlineStr">
        <is>
          <t>Housing and Urban Development Act of 1968 §106 (12 U.S.C. 1701x)</t>
        </is>
      </c>
      <c r="V44" s="23" t="inlineStr">
        <is>
          <t>N/A</t>
        </is>
      </c>
      <c r="W44" s="23" t="inlineStr">
        <is>
          <t>N/A</t>
        </is>
      </c>
      <c r="X44" s="23" t="inlineStr">
        <is>
          <t>Not applicable</t>
        </is>
      </c>
      <c r="Y44" s="23" t="inlineStr">
        <is>
          <t>Not applicable</t>
        </is>
      </c>
      <c r="Z44" s="23">
        <f>IF(X44="","",IF(X44="Excluded","Consistent",IF(X44="Counted","Inconsistent",IF(X44="Varies (grantee/agency choice)","Partly inconsistent",IF(X44="Not applicable","Not applicable","Needs check")))))</f>
        <v/>
      </c>
      <c r="AA44" s="23" t="inlineStr">
        <is>
          <t>No household income eligibility test: housing counseling is available regardless of income.</t>
        </is>
      </c>
      <c r="AB44" s="23" t="inlineStr">
        <is>
          <t>Not a means-tested household benefit.</t>
        </is>
      </c>
      <c r="AC44" s="23" t="n"/>
      <c r="AD44" s="23" t="inlineStr">
        <is>
          <t>Not verified — low risk (not income-tested)</t>
        </is>
      </c>
    </row>
    <row r="45" ht="125.25" customHeight="1">
      <c r="A45" s="18" t="n">
        <v>56</v>
      </c>
      <c r="B45" s="19" t="inlineStr">
        <is>
          <t>Housing Counseling Program</t>
        </is>
      </c>
      <c r="C45" s="20" t="inlineStr">
        <is>
          <t>Housing Counseling Training Program</t>
        </is>
      </c>
      <c r="D45" s="19" t="inlineStr">
        <is>
          <t>Office of Housing — Office of Housing Counseling</t>
        </is>
      </c>
      <c r="E45" s="20" t="inlineStr">
        <is>
          <t>Assistant Secretary for Housing -- Federal Housing Commissioner</t>
        </is>
      </c>
      <c r="F45" s="19" t="inlineStr">
        <is>
          <t>Provides regulatory oversight and capacity building to HUD-approved Housing Counseling Agencies and HUD-certified counselors and awards grants to facilitate housing counseling services, addressing such needs as purchasing or renting a home, preventing foreclosure and eviction, and diminishing homelessness.</t>
        </is>
      </c>
      <c r="G45" s="19" t="inlineStr">
        <is>
          <t>Section 4(g)(3) of the Department of Housing and Urban Development Act of 1965 (42 U.S.C. 3533(g)(3)) and section 106 of the Housing and Urban Development Act of 1968 (12 U.S.C. 1701x).</t>
        </is>
      </c>
      <c r="H45" s="19" t="inlineStr">
        <is>
          <t>Regulations are at 24 CFR part 206, subpart E and part 214.</t>
        </is>
      </c>
      <c r="I45" s="21" t="inlineStr">
        <is>
          <t>https://www.hudexchange.info/programs/housingcounseling/program-description/</t>
        </is>
      </c>
      <c r="J45" s="20" t="inlineStr">
        <is>
          <t>14.316</t>
        </is>
      </c>
      <c r="K45" s="20" t="inlineStr">
        <is>
          <t>Housing Counseling Training Grant</t>
        </is>
      </c>
      <c r="L45" s="20" t="inlineStr">
        <is>
          <t>This program supports, under cooperative agreements with HUD, the delivery of a broad array of training activities for counselors from agencies participating in HUD's Housing Counseling program. The primary objectives of the program are to improve and standardize the quality of counseling provided by housing counselors working with HUD-approved housing counseling agencies and to make training accessible and affordable.</t>
        </is>
      </c>
      <c r="M45" s="20" t="inlineStr">
        <is>
          <t>Project Grants</t>
        </is>
      </c>
      <c r="N45" s="20" t="inlineStr">
        <is>
          <t>Specialized group (e.g. health professionals, students, veterans)</t>
        </is>
      </c>
      <c r="O45" s="20" t="inlineStr">
        <is>
          <t>Private nonprofit institution/organization (includes institutions of higher education and hospitals),Public nonprofit institution/organization (includes institutions of higher education and hospitals)</t>
        </is>
      </c>
      <c r="P45" s="22" t="n">
        <v>0</v>
      </c>
      <c r="Q45" s="22" t="n">
        <v>2750000</v>
      </c>
      <c r="R45" s="22" t="n">
        <v>-92315.5</v>
      </c>
      <c r="S45" s="23" t="inlineStr">
        <is>
          <t>Not income-tested</t>
        </is>
      </c>
      <c r="T45" s="23" t="inlineStr">
        <is>
          <t>Other statutes &amp; appropriations</t>
        </is>
      </c>
      <c r="U45" s="23" t="inlineStr">
        <is>
          <t>Housing and Urban Development Act of 1968 §106 (12 U.S.C. 1701x)</t>
        </is>
      </c>
      <c r="V45" s="23" t="inlineStr">
        <is>
          <t>N/A</t>
        </is>
      </c>
      <c r="W45" s="23" t="inlineStr">
        <is>
          <t>N/A</t>
        </is>
      </c>
      <c r="X45" s="23" t="inlineStr">
        <is>
          <t>Not applicable</t>
        </is>
      </c>
      <c r="Y45" s="23" t="inlineStr">
        <is>
          <t>Not applicable</t>
        </is>
      </c>
      <c r="Z45" s="23">
        <f>IF(X45="","",IF(X45="Excluded","Consistent",IF(X45="Counted","Inconsistent",IF(X45="Varies (grantee/agency choice)","Partly inconsistent",IF(X45="Not applicable","Not applicable","Needs check")))))</f>
        <v/>
      </c>
      <c r="AA45" s="23" t="inlineStr">
        <is>
          <t>No household income eligibility test: housing counseling is available regardless of income.</t>
        </is>
      </c>
      <c r="AB45" s="23" t="inlineStr">
        <is>
          <t>Not a means-tested household benefit.</t>
        </is>
      </c>
      <c r="AC45" s="23" t="n"/>
      <c r="AD45" s="23" t="inlineStr">
        <is>
          <t>Not verified — low risk (not income-tested)</t>
        </is>
      </c>
    </row>
    <row r="46" ht="98.25" customHeight="1">
      <c r="A46" s="18" t="n">
        <v>56</v>
      </c>
      <c r="B46" s="19" t="inlineStr">
        <is>
          <t>Housing Counseling Program</t>
        </is>
      </c>
      <c r="C46" s="20" t="inlineStr">
        <is>
          <t>Tenant Education and Outreach Program</t>
        </is>
      </c>
      <c r="D46" s="19" t="inlineStr">
        <is>
          <t>Office of Housing — Office of Housing Counseling</t>
        </is>
      </c>
      <c r="E46" s="20" t="inlineStr">
        <is>
          <t>Assistant Secretary for Housing -- Federal Housing Commissioner</t>
        </is>
      </c>
      <c r="F46" s="19" t="inlineStr">
        <is>
          <t>Provides regulatory oversight and capacity building to HUD-approved Housing Counseling Agencies and HUD-certified counselors and awards grants to facilitate housing counseling services, addressing such needs as purchasing or renting a home, preventing foreclosure and eviction, and diminishing homelessness.</t>
        </is>
      </c>
      <c r="G46" s="19" t="inlineStr">
        <is>
          <t>Section 4(g)(3) of the Department of Housing and Urban Development Act of 1965 (42 U.S.C. 3533(g)(3)) and section 106 of the Housing and Urban Development Act of 1968 (12 U.S.C. 1701x).</t>
        </is>
      </c>
      <c r="H46" s="19" t="inlineStr">
        <is>
          <t>Regulations are at 24 CFR part 206, subpart E and part 214.</t>
        </is>
      </c>
      <c r="I46" s="21" t="inlineStr">
        <is>
          <t>https://www.hudexchange.info/programs/housingcounseling/program-description/</t>
        </is>
      </c>
      <c r="J46" s="20" t="inlineStr">
        <is>
          <t>14.322</t>
        </is>
      </c>
      <c r="K46" s="20" t="inlineStr">
        <is>
          <t>(TEO)</t>
        </is>
      </c>
      <c r="L46" s="20" t="inlineStr">
        <is>
          <t>The purpose of the Tenant Education and Outreach (TEO) Program is to support tenant capacity building at eligible existing Project-Based Section 8 properties with the goal of preserving decent, safe, and sanitary housing within the Section 8 program.</t>
        </is>
      </c>
      <c r="M46" s="20" t="inlineStr">
        <is>
          <t>Project Grants</t>
        </is>
      </c>
      <c r="N46" s="20" t="inlineStr">
        <is>
          <t>Individual/Family,Low Income,Specialized group (e.g. health professionals, students, veterans)</t>
        </is>
      </c>
      <c r="O46" s="20" t="inlineStr">
        <is>
          <t>Private nonprofit institution/organization (includes institutions of higher education and hospitals),Profit organization,Small business (less than 500 employees)</t>
        </is>
      </c>
      <c r="P46" s="22" t="n">
        <v>0</v>
      </c>
      <c r="Q46" s="22" t="n">
        <v>10000000</v>
      </c>
      <c r="R46" s="22" t="n">
        <v>0</v>
      </c>
      <c r="S46" s="23" t="inlineStr">
        <is>
          <t>Not income-tested</t>
        </is>
      </c>
      <c r="T46" s="23" t="inlineStr">
        <is>
          <t>Other statutes &amp; appropriations</t>
        </is>
      </c>
      <c r="U46" s="23" t="inlineStr">
        <is>
          <t>Housing and Urban Development Act of 1968 §106 (12 U.S.C. 1701x)</t>
        </is>
      </c>
      <c r="V46" s="23" t="inlineStr">
        <is>
          <t>N/A</t>
        </is>
      </c>
      <c r="W46" s="23" t="inlineStr">
        <is>
          <t>N/A</t>
        </is>
      </c>
      <c r="X46" s="23" t="inlineStr">
        <is>
          <t>Not applicable</t>
        </is>
      </c>
      <c r="Y46" s="23" t="inlineStr">
        <is>
          <t>Not applicable</t>
        </is>
      </c>
      <c r="Z46" s="23">
        <f>IF(X46="","",IF(X46="Excluded","Consistent",IF(X46="Counted","Inconsistent",IF(X46="Varies (grantee/agency choice)","Partly inconsistent",IF(X46="Not applicable","Not applicable","Needs check")))))</f>
        <v/>
      </c>
      <c r="AA46" s="23" t="inlineStr">
        <is>
          <t>No household income eligibility test: housing counseling is available regardless of income.</t>
        </is>
      </c>
      <c r="AB46" s="23" t="inlineStr">
        <is>
          <t>Not a means-tested household benefit.</t>
        </is>
      </c>
      <c r="AC46" s="23" t="n"/>
      <c r="AD46" s="23" t="inlineStr">
        <is>
          <t>Not verified — low risk (not income-tested)</t>
        </is>
      </c>
    </row>
    <row r="47" ht="138.75" customHeight="1">
      <c r="A47" s="18" t="n">
        <v>58</v>
      </c>
      <c r="B47" s="19" t="inlineStr">
        <is>
          <t>Choice Neighborhoods</t>
        </is>
      </c>
      <c r="C47" s="20" t="inlineStr">
        <is>
          <t>Choice Neighborhoods Implementation Grants</t>
        </is>
      </c>
      <c r="D47" s="19" t="inlineStr">
        <is>
          <t>Public and Indian Housing (PIH) — Public Housing Programs</t>
        </is>
      </c>
      <c r="E47" s="20" t="inlineStr">
        <is>
          <t>Assistant Secretary for Public and Indian Housing</t>
        </is>
      </c>
      <c r="F47" s="19" t="inlineStr">
        <is>
          <t>Competitive grant program to develop severely distressed HUD housing through a comprehensive approach which transforms neighborhoods of poverty into vibrant, mixed-income neighborhoods.</t>
        </is>
      </c>
      <c r="G47" s="19" t="inlineStr">
        <is>
          <t>Choice Neighborhoods is authorized through annual appropriations acts, most recently the Consolidated Appropriations Act, 2024 (Public Law 118-42, approved March 9, 2024); section 24 of the United States Housing Act of 1937 (42 U.S.C. 1437v) .</t>
        </is>
      </c>
      <c r="H47" s="19" t="n"/>
      <c r="I47" s="21" t="inlineStr">
        <is>
          <t>https://www.hud.gov/cn</t>
        </is>
      </c>
      <c r="J47" s="20" t="inlineStr">
        <is>
          <t>14.889</t>
        </is>
      </c>
      <c r="K47" s="20" t="n"/>
      <c r="L47" s="20" t="inlineStr">
        <is>
          <t>Choice Neighborhoods Implementation Grants provide funds to implement comprehensive plans for community revitalization centered on redeveloping severely distressed public housing and/or HUD-assisted housing. The program aims to transform neighborhoods of poverty into viable mixed-income neighborhoods by revitalizing a target housing projects and catalyzing critical improvements in the neighborhood, including commercial and retail development, recreational amenities, social services and improved educational opportunities.</t>
        </is>
      </c>
      <c r="M47" s="20" t="inlineStr">
        <is>
          <t>Project Grants</t>
        </is>
      </c>
      <c r="N47" s="20" t="inlineStr">
        <is>
          <t>Anyone/general public,Local,Low Income,Moderate Income,Private nonprofit institution/organization</t>
        </is>
      </c>
      <c r="O47" s="20" t="inlineStr">
        <is>
          <t>Local (includes State-designated lndian Tribes, excludes institutions of higher education and hospitals,Private nonprofit institution/organization (includes institutions of higher education and hospitals),Profit organization</t>
        </is>
      </c>
      <c r="P47" s="22" t="n">
        <v>0</v>
      </c>
      <c r="Q47" s="22" t="n">
        <v>334880204.6</v>
      </c>
      <c r="R47" s="22" t="n">
        <v>429625956</v>
      </c>
      <c r="S47" s="23" t="inlineStr">
        <is>
          <t>Not income-tested</t>
        </is>
      </c>
      <c r="T47" s="23" t="inlineStr">
        <is>
          <t>U.S. Housing Act of 1937 (public housing &amp; Section 8)</t>
        </is>
      </c>
      <c r="U47" s="23" t="inlineStr">
        <is>
          <t>—</t>
        </is>
      </c>
      <c r="V47" s="23" t="inlineStr">
        <is>
          <t>N/A</t>
        </is>
      </c>
      <c r="W47" s="23" t="inlineStr">
        <is>
          <t>N/A</t>
        </is>
      </c>
      <c r="X47" s="23" t="inlineStr">
        <is>
          <t>Not applicable</t>
        </is>
      </c>
      <c r="Y47" s="23" t="inlineStr">
        <is>
          <t>Not applicable</t>
        </is>
      </c>
      <c r="Z47" s="23">
        <f>IF(X47="","",IF(X47="Excluded","Consistent",IF(X47="Counted","Inconsistent",IF(X47="Varies (grantee/agency choice)","Partly inconsistent",IF(X47="Not applicable","Not applicable","Needs check")))))</f>
        <v/>
      </c>
      <c r="AA47" s="23" t="inlineStr">
        <is>
          <t>No household income eligibility test: neighborhood transformation grants.</t>
        </is>
      </c>
      <c r="AB47" s="23" t="inlineStr">
        <is>
          <t>Not a means-tested household benefit.</t>
        </is>
      </c>
      <c r="AC47" s="23" t="inlineStr">
        <is>
          <t>Replacement housing follows public housing / PBV / PBRA rules (Part 5).</t>
        </is>
      </c>
      <c r="AD47" s="23" t="inlineStr">
        <is>
          <t>Not verified — low risk (not income-tested)</t>
        </is>
      </c>
    </row>
    <row r="48" ht="206.25" customHeight="1">
      <c r="A48" s="18" t="n">
        <v>58</v>
      </c>
      <c r="B48" s="19" t="inlineStr">
        <is>
          <t>Choice Neighborhoods</t>
        </is>
      </c>
      <c r="C48" s="20" t="inlineStr">
        <is>
          <t xml:space="preserve">Choice Neighborhoods Planning Grants </t>
        </is>
      </c>
      <c r="D48" s="19" t="inlineStr">
        <is>
          <t>Public and Indian Housing (PIH) — Public Housing Programs</t>
        </is>
      </c>
      <c r="E48" s="20" t="inlineStr">
        <is>
          <t>Assistant Secretary for Public and Indian Housing</t>
        </is>
      </c>
      <c r="F48" s="19" t="inlineStr">
        <is>
          <t>Competitive grant program to develop severely distressed HUD housing through a comprehensive approach which transforms neighborhoods of poverty into vibrant, mixed-income neighborhoods.</t>
        </is>
      </c>
      <c r="G48" s="19" t="inlineStr">
        <is>
          <t>Choice Neighborhoods is authorized through annual appropriations acts, most recently the Consolidated Appropriations Act, 2024 (Public Law 118-42, approved March 9, 2024); section 24 of the United States Housing Act of 1937 (42 U.S.C. 1437v) .</t>
        </is>
      </c>
      <c r="H48" s="19" t="n"/>
      <c r="I48" s="21" t="inlineStr">
        <is>
          <t>https://www.hud.gov/cn</t>
        </is>
      </c>
      <c r="J48" s="20" t="inlineStr">
        <is>
          <t>14.892</t>
        </is>
      </c>
      <c r="K48" s="20" t="n"/>
      <c r="L48" s="20" t="inlineStr">
        <is>
          <t>Choice Neighborhoods Planning Grants support the development of comprehensive neighborhood Transformation Plans which are centered on the revitalization of a severely distressed public housing or HUD-assisted housing project. The Transformation Plan should integrate effective strategies for redevelopment of the targeted public and/or assisted housing project;  the provision  of supportive services for housing residents which address employment, health and educational opportunities; and initiatives which improve the range of neighborhood assets and promote economic development. The Transformation Plan should be created as part of a collaborative planning process that involves neighborhood stakeholders, local governmental entities and residents, and builds the necessary support to successfully implement the plan.</t>
        </is>
      </c>
      <c r="M48" s="20" t="inlineStr">
        <is>
          <t>Project Grants</t>
        </is>
      </c>
      <c r="N48" s="20" t="inlineStr">
        <is>
          <t>Anyone/general public,Individual/Family,Local,Other private institution/organization,Other public institution/organization,Private nonprofit institution/organization,Profit organization,Public nonprofit institution/organization,Small Business Person,U.S. Citizen</t>
        </is>
      </c>
      <c r="O48" s="20" t="inlineStr">
        <is>
          <t>Other public institution/organization,Private nonprofit institution/organization (includes institutions of higher education and hospitals),Profit organization,Public nonprofit institution/organization (includes institutions of higher education and hospitals),State</t>
        </is>
      </c>
      <c r="P48" s="22" t="n">
        <v>0</v>
      </c>
      <c r="Q48" s="22" t="n">
        <v>1000000</v>
      </c>
      <c r="R48" s="22" t="n">
        <v>0</v>
      </c>
      <c r="S48" s="23" t="inlineStr">
        <is>
          <t>Not income-tested</t>
        </is>
      </c>
      <c r="T48" s="23" t="inlineStr">
        <is>
          <t>U.S. Housing Act of 1937 (public housing &amp; Section 8)</t>
        </is>
      </c>
      <c r="U48" s="23" t="inlineStr">
        <is>
          <t>—</t>
        </is>
      </c>
      <c r="V48" s="23" t="inlineStr">
        <is>
          <t>N/A</t>
        </is>
      </c>
      <c r="W48" s="23" t="inlineStr">
        <is>
          <t>N/A</t>
        </is>
      </c>
      <c r="X48" s="23" t="inlineStr">
        <is>
          <t>Not applicable</t>
        </is>
      </c>
      <c r="Y48" s="23" t="inlineStr">
        <is>
          <t>Not applicable</t>
        </is>
      </c>
      <c r="Z48" s="23">
        <f>IF(X48="","",IF(X48="Excluded","Consistent",IF(X48="Counted","Inconsistent",IF(X48="Varies (grantee/agency choice)","Partly inconsistent",IF(X48="Not applicable","Not applicable","Needs check")))))</f>
        <v/>
      </c>
      <c r="AA48" s="23" t="inlineStr">
        <is>
          <t>No household income eligibility test: neighborhood planning grants.</t>
        </is>
      </c>
      <c r="AB48" s="23" t="inlineStr">
        <is>
          <t>Not a means-tested household benefit.</t>
        </is>
      </c>
      <c r="AC48" s="23" t="n"/>
      <c r="AD48" s="23" t="inlineStr">
        <is>
          <t>Not verified — low risk (not income-tested)</t>
        </is>
      </c>
    </row>
    <row r="49" ht="165.75" customHeight="1">
      <c r="A49" s="18" t="n">
        <v>60</v>
      </c>
      <c r="B49" s="19" t="inlineStr">
        <is>
          <t>Family Self-Sufficiency (FSS) Program</t>
        </is>
      </c>
      <c r="C49" s="20" t="inlineStr">
        <is>
          <t>Family Self-Sufficiency Program</t>
        </is>
      </c>
      <c r="D49" s="19" t="inlineStr">
        <is>
          <t>Public and Indian Housing (PIH) — Public Housing Programs</t>
        </is>
      </c>
      <c r="E49" s="20" t="inlineStr">
        <is>
          <t>Assistant Secretary for Public and Indian Housing</t>
        </is>
      </c>
      <c r="F49" s="19" t="inlineStr">
        <is>
          <t>Promotes the development of local strategies to coordinate public and private resources that help housing choice voucher program participants, public housing tenants, and tenants in the Section 8 Project-Based Rental Assistance (PBRA) program to obtain employment that aims to enable participating families to achieve economic independence and reduce dependence on welfare assistance and rental subsidies.</t>
        </is>
      </c>
      <c r="G49" s="19" t="inlineStr">
        <is>
          <t>Section 23 of the United States Housing Act of 1937 (42 U.S.C. 1437u).</t>
        </is>
      </c>
      <c r="H49" s="19" t="inlineStr">
        <is>
          <t>Regulations are at 24 CFR part 984.</t>
        </is>
      </c>
      <c r="I49" s="21" t="inlineStr">
        <is>
          <t>https://www.hud.gov/program_offices/public_indian_housing/programs/hcv/fss</t>
        </is>
      </c>
      <c r="J49" s="20" t="inlineStr">
        <is>
          <t>14.896</t>
        </is>
      </c>
      <c r="K49" s="20" t="inlineStr">
        <is>
          <t>(FSS)</t>
        </is>
      </c>
      <c r="L49" s="20" t="inlineStr">
        <is>
          <t>To promote the development of local strategies to coordinate the use of assistance under the Housing Choice Voucher, Public Housing and Project-Based Rental Assistance programs with public and private resources to enable participating families to increase earned income and financial literacy, reduce or eliminate the need for welfare assistance, and make progress toward economic independence and self-sufficiency. Public Housing FSS and HCV FSS were separate programs for many years. They were combined into one FSS program in FY14. PBRA became eligible to be funded with the implementation of the FSS Final Rule in May 2022.</t>
        </is>
      </c>
      <c r="M49" s="20" t="inlineStr">
        <is>
          <t>Project Grants</t>
        </is>
      </c>
      <c r="N49" s="20" t="inlineStr">
        <is>
          <t>Individual/Family,Low Income</t>
        </is>
      </c>
      <c r="O49" s="20" t="inlineStr">
        <is>
          <t>Government - General,Profit organization,Public nonprofit institution/organization (includes institutions of higher education and hospitals),State</t>
        </is>
      </c>
      <c r="P49" s="22" t="n">
        <v>0</v>
      </c>
      <c r="Q49" s="22" t="n">
        <v>121682530.39</v>
      </c>
      <c r="R49" s="22" t="n">
        <v>111686771.58</v>
      </c>
      <c r="S49" s="23" t="inlineStr">
        <is>
          <t>Via underlying program</t>
        </is>
      </c>
      <c r="T49" s="23" t="inlineStr">
        <is>
          <t>U.S. Housing Act of 1937 (public housing &amp; Section 8)</t>
        </is>
      </c>
      <c r="U49" s="23" t="inlineStr">
        <is>
          <t>Eligibility inherited from public housing or HCV (Part 5)</t>
        </is>
      </c>
      <c r="V49" s="23" t="inlineStr">
        <is>
          <t>N/A (no separate income determination)</t>
        </is>
      </c>
      <c r="W49" s="23" t="inlineStr">
        <is>
          <t>N/A</t>
        </is>
      </c>
      <c r="X49" s="23" t="inlineStr">
        <is>
          <t>Not applicable</t>
        </is>
      </c>
      <c r="Y49" s="23" t="inlineStr">
        <is>
          <t>Not applicable</t>
        </is>
      </c>
      <c r="Z49" s="23">
        <f>IF(X49="","",IF(X49="Excluded","Consistent",IF(X49="Counted","Inconsistent",IF(X49="Varies (grantee/agency choice)","Partly inconsistent",IF(X49="Not applicable","Not applicable","Needs check")))))</f>
        <v/>
      </c>
      <c r="AA49" s="23" t="inlineStr">
        <is>
          <t>No separate household income determination; participants are already income-qualified under public housing or HCV (Part 5), where VA compensation is treated as shown on that program's row.</t>
        </is>
      </c>
      <c r="AB49" s="23" t="inlineStr">
        <is>
          <t>Program funds services, capital, or operations for households assisted under another program.</t>
        </is>
      </c>
      <c r="AC49" s="23" t="inlineStr">
        <is>
          <t>FSS escrow is driven by increases in earned income; VA compensation still counts in the participant's rent under Part 5.</t>
        </is>
      </c>
      <c r="AD49" s="23" t="inlineStr">
        <is>
          <t>Partly verified</t>
        </is>
      </c>
    </row>
    <row r="50" ht="229.5" customHeight="1">
      <c r="A50" s="18" t="n">
        <v>61</v>
      </c>
      <c r="B50" s="19" t="inlineStr">
        <is>
          <t>Housing Choice Voucher Program</t>
        </is>
      </c>
      <c r="C50" s="20" t="inlineStr">
        <is>
          <t>Section 8 Housing Choice Vouchers</t>
        </is>
      </c>
      <c r="D50" s="19" t="inlineStr">
        <is>
          <t>Public and Indian Housing (PIH) — Public Housing Programs</t>
        </is>
      </c>
      <c r="E50" s="20" t="inlineStr">
        <is>
          <t>Assistant Secretary for Public and Indian Housing</t>
        </is>
      </c>
      <c r="F50" s="19" t="inlineStr">
        <is>
          <t>Rental subsidies for tenants to rent units in the private market.</t>
        </is>
      </c>
      <c r="G50" s="19" t="inlineStr">
        <is>
          <t>Section 8 of the United States Housing Act of 1937 (42 U.S.C. 1437f).</t>
        </is>
      </c>
      <c r="H50" s="19" t="inlineStr">
        <is>
          <t>Regulations are at 24 CFR part 5 (certain cross-cutting requirements); 24 CFR part 982 (Section 8 Tenant-Based Housing Choice Voucher Program); 24 CFR part 984 (Section 8 and Public Housing Family Self-Sufficiency Program); and 24 CFR part 985 (Section 8 Management Assessment Program (SEMAP)).</t>
        </is>
      </c>
      <c r="I50" s="21" t="inlineStr">
        <is>
          <t>https://www.hud.gov/program_offices/public_indian_housing/programs/hcv/about/</t>
        </is>
      </c>
      <c r="J50" s="20" t="inlineStr">
        <is>
          <t>14.871</t>
        </is>
      </c>
      <c r="K50" s="20" t="n"/>
      <c r="L50" s="20" t="inlineStr">
        <is>
          <t>The housing choice voucher program is the federal government's major program for assisting very low-income families, the elderly, and the disabled to afford decent, safe, and sanitary housing in the private market. Since housing assistance is provided on behalf of the family or individual, participants are able to find their own housing, including single-family homes, townhouses and apartments. The participant is free to choose any housing that meets the requirements of the program and is not limited to units located in subsidized housing projects. The program serves the most economically vulnerable families in the country, including families with disabilities, elderly families, formerly homeless veterans, and families with children, through federal assistance voucher payments in the provision of meeting their rental housing needs. HUD regulations merged the former Section 8 Rental Voucher program (14.855) with the former Section 8 Certificate program (14.857). Section 502 of the Public Housing Reform Act states that a purpose of the legislation is "consolidating the voucher and certificate programs for rental assistance under Section 8 of the United States Housing Act of 1937 (the "USHA") into a single market-driven program that will assist in making tenant-based rental assistance more successful at helping low-income families obtain affordable housing and will increase housing choice for low-income families". The HCVP is administered by local public housing agencies (PHAs) authorized under State law to operate housing programs within an area or jurisdiction. The PHAs receive federal funds from the U.S. Department of Housing and Urban Development (HUD) to administer the voucher program. The PHA accepts a family’s application for rental assistance, selects the applicant family for admission, and issues the selected family a voucher confirming the family’s eligibility for assistance. The family must then find and lease a dwelling unit suitable to the family’s needs and desires in the private rental market. The PHAs sign Housing Assistant Payment contracts with the landlords, and housing subsidy is paid to the landlord directly by the PHA on behalf of the participating family. The family then pays the difference between the actual rent charged by the landlord and the amount subsidized by the program. Under certain circumstances, if authorized by the PHA, a family may use its voucher to purchase a modest home.</t>
        </is>
      </c>
      <c r="M50" s="20" t="inlineStr">
        <is>
          <t>Direct Payments for a Specified Use</t>
        </is>
      </c>
      <c r="N50" s="20" t="inlineStr">
        <is>
          <t>Anyone/general public,Individual/Family,Low Income,Minority group,Moderate Income,Other Urban,Refugee/Alien,Rural,Senior Citizen (60+),Suburban,U.S. Citizen,Unemployed,Veteran/Service person/Reservist (including dependents,Welfare Recipient,Women</t>
        </is>
      </c>
      <c r="O50" s="20" t="inlineStr">
        <is>
          <t>Other private institutions/organizations,Private nonprofit institution/organization (includes institutions of higher education and hospitals),Public nonprofit institution/organization (includes institutions of higher education and hospitals),State (includes District of Columbia, public institutions of higher education and hospitals)</t>
        </is>
      </c>
      <c r="P50" s="22" t="n">
        <v>0</v>
      </c>
      <c r="Q50" s="22" t="n">
        <v>32528852267.33</v>
      </c>
      <c r="R50" s="22" t="n">
        <v>29977913903.21</v>
      </c>
      <c r="S50" s="23" t="inlineStr">
        <is>
          <t>Household income test</t>
        </is>
      </c>
      <c r="T50" s="23" t="inlineStr">
        <is>
          <t>U.S. Housing Act of 1937 (public housing &amp; Section 8)</t>
        </is>
      </c>
      <c r="U50" s="23" t="inlineStr">
        <is>
          <t>42 U.S.C. 1437a(b)(4); 24 CFR 5.609 (applied by 5.601)</t>
        </is>
      </c>
      <c r="V50" s="23" t="inlineStr">
        <is>
          <t>Part 5 annual income (24 CFR 5.609)</t>
        </is>
      </c>
      <c r="W50" s="23" t="inlineStr">
        <is>
          <t>Mandatory</t>
        </is>
      </c>
      <c r="X50" s="23" t="inlineStr">
        <is>
          <t>Counted</t>
        </is>
      </c>
      <c r="Y50" s="23" t="inlineStr">
        <is>
          <t>Counted</t>
        </is>
      </c>
      <c r="Z50" s="23">
        <f>IF(X50="","",IF(X50="Excluded","Consistent",IF(X50="Counted","Inconsistent",IF(X50="Varies (grantee/agency choice)","Partly inconsistent",IF(X50="Not applicable","Not applicable","Needs check")))))</f>
        <v/>
      </c>
      <c r="AA50" s="23" t="inlineStr">
        <is>
          <t>Current VA service-connected disability compensation is not among the 24 CFR 5.609(b) exclusions, so it is annual income. Only deferred VA disability amounts received as a lump sum or prospective monthly amounts (5.609(b)(16)) and aid &amp; attendance under 38 U.S.C. 1521 (5.609(b)(17)) are excluded; the statute (42 U.S.C. 1437a(b)(4)(B)(iii), (vi)) mirrors this.</t>
        </is>
      </c>
      <c r="AB50" s="23" t="inlineStr">
        <is>
          <t>The 1937 Act itself defines 'income' as income from all sources minus enumerated exclusions; HUD implements it uniformly through Part 5 because these programs set ongoing tenant rent from adjusted income (5.611).</t>
        </is>
      </c>
      <c r="AC50" s="23" t="inlineStr">
        <is>
          <t>Exception: HUD-VASH vouchers are funded within HCV but follow a statutory eligibility exclusion (see supplemental row at the bottom).</t>
        </is>
      </c>
      <c r="AD50" s="23" t="inlineStr">
        <is>
          <t>Verified — primary source</t>
        </is>
      </c>
    </row>
    <row r="51" ht="229.5" customHeight="1">
      <c r="A51" s="18" t="n">
        <v>64</v>
      </c>
      <c r="B51" s="19" t="inlineStr">
        <is>
          <t>Jobs Plus Initiative</t>
        </is>
      </c>
      <c r="C51" s="20" t="inlineStr">
        <is>
          <t>Jobs-Plus Pilot Initiative</t>
        </is>
      </c>
      <c r="D51" s="19" t="inlineStr">
        <is>
          <t>Public and Indian Housing (PIH) — Public Housing Programs</t>
        </is>
      </c>
      <c r="E51" s="20" t="inlineStr">
        <is>
          <t>Assistant Secretary for Public and Indian Housing</t>
        </is>
      </c>
      <c r="F51" s="19" t="inlineStr">
        <is>
          <t>Competitive grant program to increase earnings and advance employment outcomes for public housing residents.</t>
        </is>
      </c>
      <c r="G51" s="19" t="inlineStr">
        <is>
          <t>The Jobs Plus Initiative is authorized through annual appropriations acts, most recently the Consolidated Appropriations Act, 2024 (Public Law 118-42, approved March 9, 2024).</t>
        </is>
      </c>
      <c r="H51" s="19" t="n"/>
      <c r="I51" s="21" t="inlineStr">
        <is>
          <t>https://www.hud.gov/program_offices/public_indian_housing/jpi</t>
        </is>
      </c>
      <c r="J51" s="20" t="inlineStr">
        <is>
          <t>14.895</t>
        </is>
      </c>
      <c r="K51" s="20" t="inlineStr">
        <is>
          <t>Jobs-Plus Iniative</t>
        </is>
      </c>
      <c r="L51" s="20" t="inlineStr">
        <is>
          <t>The Jobs Plus program develops locally based, job-driven approaches that increase earnings and advance employment outcomes through work readiness, employer linkages, job placement, educational advancement, technology skills, and financial literacy for residents of public housing. The place-based Jobs Plus program addresses poverty among public housing residents by incentivizing and enabling employment through earned income disregards for working residents and a set of services designed to support work including employer linkages, job placement and counseling, educational advancement, and financial counseling. Ideally, these incentives will saturate the target public housing development, building a culture of work and making working residents the norm. The Jobs Plus program model comprises these three core components: Employment-Related Services; Financial/Rent Incentive – Jobs Plus Earned Income Disregard (JPEID); and Community Supports for Work.</t>
        </is>
      </c>
      <c r="M51" s="20" t="inlineStr">
        <is>
          <t>Project Grants</t>
        </is>
      </c>
      <c r="N51" s="20" t="inlineStr">
        <is>
          <t>Local,Low Income,State,U.S. Citizen,Unemployed</t>
        </is>
      </c>
      <c r="O51" s="20" t="inlineStr">
        <is>
          <t>Government - General,State</t>
        </is>
      </c>
      <c r="P51" s="22" t="n">
        <v>0</v>
      </c>
      <c r="Q51" s="22" t="n">
        <v>69718825.79000001</v>
      </c>
      <c r="R51" s="22" t="n">
        <v>39690074.99</v>
      </c>
      <c r="S51" s="23" t="inlineStr">
        <is>
          <t>Via underlying program</t>
        </is>
      </c>
      <c r="T51" s="23" t="inlineStr">
        <is>
          <t>U.S. Housing Act of 1937 (public housing &amp; Section 8)</t>
        </is>
      </c>
      <c r="U51" s="23" t="inlineStr">
        <is>
          <t>Eligibility inherited from public housing (Part 5)</t>
        </is>
      </c>
      <c r="V51" s="23" t="inlineStr">
        <is>
          <t>N/A (no separate income determination)</t>
        </is>
      </c>
      <c r="W51" s="23" t="inlineStr">
        <is>
          <t>N/A</t>
        </is>
      </c>
      <c r="X51" s="23" t="inlineStr">
        <is>
          <t>Not applicable</t>
        </is>
      </c>
      <c r="Y51" s="23" t="inlineStr">
        <is>
          <t>Not applicable</t>
        </is>
      </c>
      <c r="Z51" s="23">
        <f>IF(X51="","",IF(X51="Excluded","Consistent",IF(X51="Counted","Inconsistent",IF(X51="Varies (grantee/agency choice)","Partly inconsistent",IF(X51="Not applicable","Not applicable","Needs check")))))</f>
        <v/>
      </c>
      <c r="AA51" s="23" t="inlineStr">
        <is>
          <t>No separate household income determination; participants are already income-qualified under public housing (Part 5), where VA compensation is treated as shown on that program's row.</t>
        </is>
      </c>
      <c r="AB51" s="23" t="inlineStr">
        <is>
          <t>Program funds services, capital, or operations for households assisted under another program.</t>
        </is>
      </c>
      <c r="AC51" s="23" t="inlineStr">
        <is>
          <t>The Jobs Plus Earned Income Disregard applies only to earned income.</t>
        </is>
      </c>
      <c r="AD51" s="23" t="inlineStr">
        <is>
          <t>Partly verified</t>
        </is>
      </c>
    </row>
    <row r="52" ht="229.5" customHeight="1">
      <c r="A52" s="18" t="n">
        <v>65</v>
      </c>
      <c r="B52" s="19" t="inlineStr">
        <is>
          <t>Moving to Work (MTW) Demonstration</t>
        </is>
      </c>
      <c r="C52" s="20" t="inlineStr">
        <is>
          <t>Moving to Work Demonstration Program</t>
        </is>
      </c>
      <c r="D52" s="19" t="inlineStr">
        <is>
          <t>Public and Indian Housing (PIH) — Public Housing Programs</t>
        </is>
      </c>
      <c r="E52" s="20" t="inlineStr">
        <is>
          <t>Assistant Secretary for Public and Indian Housing</t>
        </is>
      </c>
      <c r="F52" s="19" t="inlineStr">
        <is>
          <t>Allows selected PHAs to test new ways of providing housing assistance intended to improve cost-effectiveness, promote self-sufficiency of assisted households, or increase housing choices for low-income families.</t>
        </is>
      </c>
      <c r="G52" s="19" t="inlineStr">
        <is>
          <t>Section 204 of the Omnibus Consolidated Rescissions and Appropriations Act of 1996 (Public Law 104-134, approved April 26, 1996). Additional MTW agencies authorized by section 599H of the Departments of Veterans Affairs and Housing and Urban Development, and Independent Agencies Appropriation Act, 1999 (Public Law 105-276, approved October 21, 1998); section 230 of the Consolidated Appropriations Act, 2008 (Public Law 110-161, approved December 26, 2007); section 232 of the Consolidated Appropriations Act, 2010 (Public Law 111-117, approved December 16, 2009); section 1101 of the Department of Defense and FullYear Continuing Appropriations Act, 2011 (Public Law 112-10, approved April 15, 2011); and section 239 of the Consolidated Appropriations Act, 2016 (Public Law 114-113, approved December 18, 2015).</t>
        </is>
      </c>
      <c r="H52" s="19" t="n"/>
      <c r="I52" s="21" t="inlineStr">
        <is>
          <t>https://www.hud.gov/program_offices/public_indian_housing/programs/ph/mtw</t>
        </is>
      </c>
      <c r="J52" s="20" t="inlineStr">
        <is>
          <t>14.881</t>
        </is>
      </c>
      <c r="K52" s="20" t="n"/>
      <c r="L52" s="20" t="inlineStr">
        <is>
          <t>Moving to Work (MTW) is a demonstration program for public housing authorities (PHAs) that provides opportunities to design and test innovative, locally designed strategies that use Federal dollars more efficiently, help residents find employment and become self-sufficient, and increase housing choices for low-income families. MTW allows PHAs exemptions from many existing public housing and voucher rules and provides funding flexibility with how they use their Federal funds.</t>
        </is>
      </c>
      <c r="M52" s="20" t="inlineStr">
        <is>
          <t>Formula Grants</t>
        </is>
      </c>
      <c r="N52" s="20" t="inlineStr">
        <is>
          <t>Low Income</t>
        </is>
      </c>
      <c r="O52" s="20" t="inlineStr">
        <is>
          <t>Local (includes State-designated lndian Tribes, excludes institutions of higher education and hospitals</t>
        </is>
      </c>
      <c r="P52" s="22" t="n">
        <v>0</v>
      </c>
      <c r="Q52" s="22" t="n">
        <v>0</v>
      </c>
      <c r="R52" s="22" t="n">
        <v>0</v>
      </c>
      <c r="S52" s="23" t="inlineStr">
        <is>
          <t>Household income test</t>
        </is>
      </c>
      <c r="T52" s="23" t="inlineStr">
        <is>
          <t>U.S. Housing Act of 1937 (public housing &amp; Section 8)</t>
        </is>
      </c>
      <c r="U52" s="23" t="inlineStr">
        <is>
          <t>MTW Demonstration (1996 Appropriations Act §204); 42 U.S.C. 1437a(b)(4); 24 CFR 5.609</t>
        </is>
      </c>
      <c r="V52" s="23" t="inlineStr">
        <is>
          <t>Part 5 annual income (24 CFR 5.609)</t>
        </is>
      </c>
      <c r="W52" s="23" t="inlineStr">
        <is>
          <t>Mandatory</t>
        </is>
      </c>
      <c r="X52" s="23" t="inlineStr">
        <is>
          <t>Counted</t>
        </is>
      </c>
      <c r="Y52" s="23" t="inlineStr">
        <is>
          <t>Varies (grantee/agency choice)</t>
        </is>
      </c>
      <c r="Z52" s="23">
        <f>IF(X52="","",IF(X52="Excluded","Consistent",IF(X52="Counted","Inconsistent",IF(X52="Varies (grantee/agency choice)","Partly inconsistent",IF(X52="Not applicable","Not applicable","Needs check")))))</f>
        <v/>
      </c>
      <c r="AA52" s="23" t="inlineStr">
        <is>
          <t>Current VA service-connected disability compensation is not among the 24 CFR 5.609(b) exclusions, so it is annual income. Only deferred VA disability amounts received as a lump sum or prospective monthly amounts (5.609(b)(16)) and aid &amp; attendance under 38 U.S.C. 1521 (5.609(b)(17)) are excluded; the statute (42 U.S.C. 1437a(b)(4)(B)(iii), (vi)) mirrors this.</t>
        </is>
      </c>
      <c r="AB52" s="23" t="inlineStr">
        <is>
          <t>The 1937 Act itself defines 'income' as income from all sources minus enumerated exclusions; HUD implements it uniformly through Part 5 because these programs set ongoing tenant rent from adjusted income (5.611).</t>
        </is>
      </c>
      <c r="AC52" s="23" t="inlineStr">
        <is>
          <t>MTW agencies can adopt alternative rent policies under their MTW authority; whether any exclude VA compensation from rent isn't known (could be checked in MTW plans). Admission income limits remain statutory.</t>
        </is>
      </c>
      <c r="AD52" s="23" t="inlineStr">
        <is>
          <t>Partly verified</t>
        </is>
      </c>
    </row>
    <row r="53" ht="125.25" customHeight="1">
      <c r="A53" s="18" t="n">
        <v>67</v>
      </c>
      <c r="B53" s="19" t="inlineStr">
        <is>
          <t>Public Housing Capital Fund</t>
        </is>
      </c>
      <c r="C53" s="20" t="inlineStr">
        <is>
          <t>Public Housing Capital Fund</t>
        </is>
      </c>
      <c r="D53" s="19" t="inlineStr">
        <is>
          <t>Public and Indian Housing (PIH) — Public Housing Programs</t>
        </is>
      </c>
      <c r="E53" s="20" t="inlineStr">
        <is>
          <t>Assistant Secretary for Public and Indian Housing</t>
        </is>
      </c>
      <c r="F53" s="19" t="inlineStr">
        <is>
          <t>Funding for capital improvements to public housing units.</t>
        </is>
      </c>
      <c r="G53" s="19" t="inlineStr">
        <is>
          <t>Section 9(d) and section 30 of the United States Housing Act of 1937 (42 U.S.C. 1437g(d) and 1437z-2).</t>
        </is>
      </c>
      <c r="H53" s="19" t="inlineStr">
        <is>
          <t>Regulations are at 24 CFR part 905.</t>
        </is>
      </c>
      <c r="I53" s="21" t="inlineStr">
        <is>
          <t>https://www.hud.gov/program_offices/public_indian_housing/programs/ph/capfund</t>
        </is>
      </c>
      <c r="J53" s="20" t="inlineStr">
        <is>
          <t>14.872</t>
        </is>
      </c>
      <c r="K53" s="20" t="inlineStr">
        <is>
          <t>(CFP)</t>
        </is>
      </c>
      <c r="L53" s="20" t="inlineStr">
        <is>
          <t>The Capital Fund provides funds annually to Public Housing Agencies (PHAs) for capital and management activities, including modernization and development of public housing. The Capital fund also permits PHAs to use Capital Funds for financing activities, including payments of debt service and customary financing costs, in standard PHA developments and in mixed-finance developments which include Public Housing.</t>
        </is>
      </c>
      <c r="M53" s="20" t="inlineStr">
        <is>
          <t>Formula Grants</t>
        </is>
      </c>
      <c r="N53" s="20" t="inlineStr">
        <is>
          <t>Low Income</t>
        </is>
      </c>
      <c r="O53" s="20" t="inlineStr">
        <is>
          <t>Local (includes State-designated lndian Tribes, excludes institutions of higher education and hospitals,State (includes District of Columbia, public institutions of higher education and hospitals)</t>
        </is>
      </c>
      <c r="P53" s="22" t="n">
        <v>0</v>
      </c>
      <c r="Q53" s="22" t="n">
        <v>3265805734.17</v>
      </c>
      <c r="R53" s="22" t="n">
        <v>3441762471.69</v>
      </c>
      <c r="S53" s="23" t="inlineStr">
        <is>
          <t>Via underlying program</t>
        </is>
      </c>
      <c r="T53" s="23" t="inlineStr">
        <is>
          <t>U.S. Housing Act of 1937 (public housing &amp; Section 8)</t>
        </is>
      </c>
      <c r="U53" s="23" t="inlineStr">
        <is>
          <t>Eligibility inherited from public housing (Part 5)</t>
        </is>
      </c>
      <c r="V53" s="23" t="inlineStr">
        <is>
          <t>N/A (no separate income determination)</t>
        </is>
      </c>
      <c r="W53" s="23" t="inlineStr">
        <is>
          <t>N/A</t>
        </is>
      </c>
      <c r="X53" s="23" t="inlineStr">
        <is>
          <t>Not applicable</t>
        </is>
      </c>
      <c r="Y53" s="23" t="inlineStr">
        <is>
          <t>Not applicable</t>
        </is>
      </c>
      <c r="Z53" s="23">
        <f>IF(X53="","",IF(X53="Excluded","Consistent",IF(X53="Counted","Inconsistent",IF(X53="Varies (grantee/agency choice)","Partly inconsistent",IF(X53="Not applicable","Not applicable","Needs check")))))</f>
        <v/>
      </c>
      <c r="AA53" s="23" t="inlineStr">
        <is>
          <t>No separate household income determination; participants are already income-qualified under public housing (Part 5), where VA compensation is treated as shown on that program's row.</t>
        </is>
      </c>
      <c r="AB53" s="23" t="inlineStr">
        <is>
          <t>Program funds services, capital, or operations for households assisted under another program.</t>
        </is>
      </c>
      <c r="AC53" s="23" t="inlineStr">
        <is>
          <t>Capital funding for PHAs; public housing admission/rent treatment is recorded on the supplemental 'Public housing' row.</t>
        </is>
      </c>
      <c r="AD53" s="23" t="inlineStr">
        <is>
          <t>Partly verified</t>
        </is>
      </c>
    </row>
    <row r="54" ht="98.25" customHeight="1">
      <c r="A54" s="18" t="n">
        <v>69</v>
      </c>
      <c r="B54" s="19" t="inlineStr">
        <is>
          <t>Public Housing Operating Fund</t>
        </is>
      </c>
      <c r="C54" s="20" t="inlineStr">
        <is>
          <t>Public Housing Operating Fund</t>
        </is>
      </c>
      <c r="D54" s="19" t="inlineStr">
        <is>
          <t>Public and Indian Housing (PIH) — Public Housing Programs</t>
        </is>
      </c>
      <c r="E54" s="20" t="inlineStr">
        <is>
          <t>Assistant Secretary for Public and Indian Housing</t>
        </is>
      </c>
      <c r="F54" s="19" t="inlineStr">
        <is>
          <t>Formula funding to public housing agencies (PHAs) for operations and management.</t>
        </is>
      </c>
      <c r="G54" s="19" t="inlineStr">
        <is>
          <t>Section 9(e), section 30, and section 35 of the United States Housing Act of 1937 (42 U.S.C. 1437g(e); 42 U.S.C. 1437z-2; 42 U.S.C. 1437z-7).</t>
        </is>
      </c>
      <c r="H54" s="19" t="inlineStr">
        <is>
          <t>Regulations are at 24 CFR part 990.</t>
        </is>
      </c>
      <c r="I54" s="21" t="inlineStr">
        <is>
          <t>https://www.hud.gov/program_offices/public_indian_housing/programs/ph/am</t>
        </is>
      </c>
      <c r="J54" s="20" t="inlineStr">
        <is>
          <t>14.850</t>
        </is>
      </c>
      <c r="K54" s="20" t="inlineStr">
        <is>
          <t>Operating Subsidy Grant</t>
        </is>
      </c>
      <c r="L54" s="20" t="inlineStr">
        <is>
          <t>To provide and operate cost-effective, decent, safe and affordable dwellings for lower income families through an authorized local Public Housing Agency (PHA).</t>
        </is>
      </c>
      <c r="M54" s="20" t="inlineStr">
        <is>
          <t>Formula Grants</t>
        </is>
      </c>
      <c r="N54" s="20" t="inlineStr">
        <is>
          <t>Disabled (e.g. Deaf, Blind, Physically Disabled),Individual/Family,Low Income,Physically Afflicted (e.g. TB, Arthritis, Heart Disease),Senior Citizen (60+),Unemployed</t>
        </is>
      </c>
      <c r="O54" s="20" t="inlineStr">
        <is>
          <t>Local (includes State-designated lndian Tribes, excludes institutions of higher education and hospitals</t>
        </is>
      </c>
      <c r="P54" s="22" t="n">
        <v>0</v>
      </c>
      <c r="Q54" s="22" t="n">
        <v>5247996272.23</v>
      </c>
      <c r="R54" s="22" t="n">
        <v>5119956942.04</v>
      </c>
      <c r="S54" s="23" t="inlineStr">
        <is>
          <t>Via underlying program</t>
        </is>
      </c>
      <c r="T54" s="23" t="inlineStr">
        <is>
          <t>U.S. Housing Act of 1937 (public housing &amp; Section 8)</t>
        </is>
      </c>
      <c r="U54" s="23" t="inlineStr">
        <is>
          <t>Eligibility inherited from public housing (Part 5)</t>
        </is>
      </c>
      <c r="V54" s="23" t="inlineStr">
        <is>
          <t>N/A (no separate income determination)</t>
        </is>
      </c>
      <c r="W54" s="23" t="inlineStr">
        <is>
          <t>N/A</t>
        </is>
      </c>
      <c r="X54" s="23" t="inlineStr">
        <is>
          <t>Not applicable</t>
        </is>
      </c>
      <c r="Y54" s="23" t="inlineStr">
        <is>
          <t>Not applicable</t>
        </is>
      </c>
      <c r="Z54" s="23">
        <f>IF(X54="","",IF(X54="Excluded","Consistent",IF(X54="Counted","Inconsistent",IF(X54="Varies (grantee/agency choice)","Partly inconsistent",IF(X54="Not applicable","Not applicable","Needs check")))))</f>
        <v/>
      </c>
      <c r="AA54" s="23" t="inlineStr">
        <is>
          <t>No separate household income determination; participants are already income-qualified under public housing (Part 5), where VA compensation is treated as shown on that program's row.</t>
        </is>
      </c>
      <c r="AB54" s="23" t="inlineStr">
        <is>
          <t>Program funds services, capital, or operations for households assisted under another program.</t>
        </is>
      </c>
      <c r="AC54" s="23" t="inlineStr">
        <is>
          <t>Operating subsidy for PHAs; public housing admission/rent treatment is recorded on the supplemental 'Public housing' row.</t>
        </is>
      </c>
      <c r="AD54" s="23" t="inlineStr">
        <is>
          <t>Partly verified</t>
        </is>
      </c>
    </row>
    <row r="55" ht="229.5" customHeight="1">
      <c r="A55" s="18" t="n">
        <v>70</v>
      </c>
      <c r="B55" s="19" t="inlineStr">
        <is>
          <t>Resident Opportunity and Self-Sufficiency (ROSS) Service Coordinator Program</t>
        </is>
      </c>
      <c r="C55" s="20" t="inlineStr">
        <is>
          <t>Resident Opportunity and Supportive Services - Service Coordinators</t>
        </is>
      </c>
      <c r="D55" s="19" t="inlineStr">
        <is>
          <t>Public and Indian Housing (PIH) — Public Housing Programs</t>
        </is>
      </c>
      <c r="E55" s="20" t="inlineStr">
        <is>
          <t>Assistant Secretary for Public and Indian Housing</t>
        </is>
      </c>
      <c r="F55" s="19" t="inlineStr">
        <is>
          <t>Grants for voluntary supportive services and resident empowerment activities.</t>
        </is>
      </c>
      <c r="G55" s="19" t="inlineStr">
        <is>
          <t>Section 34 of the United States Housing Act of 1937 (42 U.S.C. 1437z-6).</t>
        </is>
      </c>
      <c r="H55" s="19" t="inlineStr">
        <is>
          <t>Regulations are at 24 CFR part 964.</t>
        </is>
      </c>
      <c r="I55" s="21" t="inlineStr">
        <is>
          <t>https://www.hud.gov/program_offices/public_indian_housing/programs/ph/ross/about</t>
        </is>
      </c>
      <c r="J55" s="20" t="inlineStr">
        <is>
          <t>14.870</t>
        </is>
      </c>
      <c r="K55" s="20" t="inlineStr">
        <is>
          <t>(ROSS Service Coordinators)</t>
        </is>
      </c>
      <c r="L55" s="20" t="inlineStr">
        <is>
          <t>To address the economic and housing self-sufficiency needs of public and Indian housing residents by providing grant-funded service coordinators who link residents to the supportive services they need in order to achieve economic and housing self-sufficiency; and for elderly/disabled residents to continue to age/reside in place and avoid costlier forms of care.</t>
        </is>
      </c>
      <c r="M55" s="20" t="inlineStr">
        <is>
          <t>Project Grants</t>
        </is>
      </c>
      <c r="N55" s="20" t="inlineStr">
        <is>
          <t>Disabled (e.g. Deaf, Blind, Physically Disabled),Federally Recognized Indian Tribal Governments,Individual/Family,Low Income,Mentally Disabled,Minority group,Moderate Income,Native American Organizations,Other private institution/organization,Other public institution/organization,Physically Afflicted (e.g. TB, Arthritis, Heart Disease),Public nonprofit institution/organization,Senior Citizen (60+),Sponsored organization,Unemployed,Veteran/Service person/Reservist (including dependents,Welfare Recipient,Women</t>
        </is>
      </c>
      <c r="O55" s="20" t="inlineStr">
        <is>
          <t>Federally Recognized lndian Tribal Governments,Native American Organizations (includes lndian groups, cooperatives, corporations, partnerships, associations),Other public institution/organization,Public nonprofit institution/organization (includes institutions of higher education and hospitals)</t>
        </is>
      </c>
      <c r="P55" s="22" t="n">
        <v>0</v>
      </c>
      <c r="Q55" s="22" t="n">
        <v>652162</v>
      </c>
      <c r="R55" s="22" t="n">
        <v>-3136190.77</v>
      </c>
      <c r="S55" s="23" t="inlineStr">
        <is>
          <t>Via underlying program</t>
        </is>
      </c>
      <c r="T55" s="23" t="inlineStr">
        <is>
          <t>U.S. Housing Act of 1937 (public housing &amp; Section 8)</t>
        </is>
      </c>
      <c r="U55" s="23" t="inlineStr">
        <is>
          <t>Eligibility inherited from public housing (Part 5)</t>
        </is>
      </c>
      <c r="V55" s="23" t="inlineStr">
        <is>
          <t>N/A (no separate income determination)</t>
        </is>
      </c>
      <c r="W55" s="23" t="inlineStr">
        <is>
          <t>N/A</t>
        </is>
      </c>
      <c r="X55" s="23" t="inlineStr">
        <is>
          <t>Not applicable</t>
        </is>
      </c>
      <c r="Y55" s="23" t="inlineStr">
        <is>
          <t>Not applicable</t>
        </is>
      </c>
      <c r="Z55" s="23">
        <f>IF(X55="","",IF(X55="Excluded","Consistent",IF(X55="Counted","Inconsistent",IF(X55="Varies (grantee/agency choice)","Partly inconsistent",IF(X55="Not applicable","Not applicable","Needs check")))))</f>
        <v/>
      </c>
      <c r="AA55" s="23" t="inlineStr">
        <is>
          <t>No separate household income determination; participants are already income-qualified under public housing (Part 5), where VA compensation is treated as shown on that program's row.</t>
        </is>
      </c>
      <c r="AB55" s="23" t="inlineStr">
        <is>
          <t>Program funds services, capital, or operations for households assisted under another program.</t>
        </is>
      </c>
      <c r="AC55" s="23" t="n"/>
      <c r="AD55" s="23" t="inlineStr">
        <is>
          <t>Partly verified</t>
        </is>
      </c>
    </row>
    <row r="56" ht="98.25" customHeight="1">
      <c r="A56" s="18" t="n">
        <v>71</v>
      </c>
      <c r="B56" s="19" t="inlineStr">
        <is>
          <t>Indian Community Development Block Grant (ICDBG) Program</t>
        </is>
      </c>
      <c r="C56" s="20" t="inlineStr">
        <is>
          <t>Indian Community Development Block Grant Program</t>
        </is>
      </c>
      <c r="D56" s="19" t="inlineStr">
        <is>
          <t>Public and Indian Housing (PIH) — Indian Housing Programs</t>
        </is>
      </c>
      <c r="E56" s="20" t="inlineStr">
        <is>
          <t>Assistant Secretary for Public and Indian Housing</t>
        </is>
      </c>
      <c r="F56" s="19" t="inlineStr">
        <is>
          <t>Grants to help American Indians and Alaska Natives (AIAN) develop viable communities.</t>
        </is>
      </c>
      <c r="G56" s="19" t="inlineStr">
        <is>
          <t>Title I of the Housing and Community Development Act of 1974 (42 U.S.C. 5301, et seq.).</t>
        </is>
      </c>
      <c r="H56" s="19" t="inlineStr">
        <is>
          <t>Regulations are at 24 CFR part 1003.</t>
        </is>
      </c>
      <c r="I56" s="21" t="inlineStr">
        <is>
          <t>https://www.hud.gov/program_offices/public_indian_housing/ih/grants/icdbg</t>
        </is>
      </c>
      <c r="J56" s="20" t="inlineStr">
        <is>
          <t>14.862</t>
        </is>
      </c>
      <c r="K56" s="20" t="inlineStr">
        <is>
          <t>ICDBG</t>
        </is>
      </c>
      <c r="L56" s="20" t="inlineStr">
        <is>
          <t>The purpose of the Indian Community Development Block Grant (ICDBG) program is the development of viable American Indian and Alaska Native communities, including the creation of decent housing, suitable living environments, and economic opportunities primarily for persons with low- and moderate-incomes.</t>
        </is>
      </c>
      <c r="M56" s="20" t="inlineStr">
        <is>
          <t>Project Grants</t>
        </is>
      </c>
      <c r="N56" s="20" t="inlineStr">
        <is>
          <t>Federally Recognized Indian Tribal Governments,Low Income,Moderate Income,Native American Organizations</t>
        </is>
      </c>
      <c r="O56" s="20" t="inlineStr">
        <is>
          <t>Federally Recognized lndian Tribal Governments,Native American Organizations (includes lndian groups, cooperatives, corporations, partnerships, associations)</t>
        </is>
      </c>
      <c r="P56" s="22" t="n">
        <v>0</v>
      </c>
      <c r="Q56" s="22" t="n">
        <v>71242752.42</v>
      </c>
      <c r="R56" s="22" t="n">
        <v>108707070.86</v>
      </c>
      <c r="S56" s="23" t="inlineStr">
        <is>
          <t>Household income test</t>
        </is>
      </c>
      <c r="T56" s="23" t="inlineStr">
        <is>
          <t>HCDA Title I (CDBG family)</t>
        </is>
      </c>
      <c r="U56" s="23" t="inlineStr">
        <is>
          <t>42 U.S.C. 5302(a)(20)(C) (PL 119-70 §2 names Indian tribes); 24 CFR part 1003</t>
        </is>
      </c>
      <c r="V56" s="23" t="inlineStr">
        <is>
          <t>Not confirmed (24 CFR part 1003)</t>
        </is>
      </c>
      <c r="W56" s="23" t="inlineStr">
        <is>
          <t>N/A</t>
        </is>
      </c>
      <c r="X56" s="23" t="inlineStr">
        <is>
          <t>Excluded</t>
        </is>
      </c>
      <c r="Y56" s="23" t="inlineStr">
        <is>
          <t>Not applicable</t>
        </is>
      </c>
      <c r="Z56" s="23">
        <f>IF(X56="","",IF(X56="Excluded","Consistent",IF(X56="Counted","Inconsistent",IF(X56="Varies (grantee/agency choice)","Partly inconsistent",IF(X56="Not applicable","Not applicable","Needs check")))))</f>
        <v/>
      </c>
      <c r="AA56" s="23" t="inlineStr">
        <is>
          <t>PL 119-70 §2 (Jan. 20, 2026) requires a State, unit of general local government, or Indian tribe to exclude VA service-connected disability compensation when determining whether a person is low/moderate income. HUD implemented it sub-regulatorily in Notice CPD-26-09 (posted Sept. 4, 2026). 24 CFR 570.3 has not been amended: its Census option still lists 'Veterans' (VA) payments' as income.</t>
        </is>
      </c>
      <c r="AB56" s="23" t="inlineStr">
        <is>
          <t>HCDA sets income limits (80% AMI) but left the income definition to HUD, which offered a three-definition menu (1995) to ease local administration. Before PL 119-70, treatment depended on the definition: counted under Part 5 and Census, excluded under IRS 1040 (compensation is non-taxable). Congress cited that inconsistency (H. Rept. 118-652).</t>
        </is>
      </c>
      <c r="AC56" s="23" t="inlineStr">
        <is>
          <t>ICDBG is administered by ONAP under 24 CFR part 1003; PL 119-70 names 'Indian tribe' expressly. Part 1003's own income definition and whether CPD-26-09 reaches ICDBG were not confirmed. Statute (5302(a)(20)(C)) and 570.3 read this session; CPD-26-09's existence and date confirmed but its text could not be retrieved.</t>
        </is>
      </c>
      <c r="AD56" s="23" t="inlineStr">
        <is>
          <t>Partly verified</t>
        </is>
      </c>
    </row>
    <row r="57" ht="229.5" customHeight="1">
      <c r="A57" s="18" t="n">
        <v>72</v>
      </c>
      <c r="B57" s="19" t="inlineStr">
        <is>
          <t>Indian Housing Block Grant (IHBG) Program</t>
        </is>
      </c>
      <c r="C57" s="20" t="inlineStr">
        <is>
          <t>Indian Housing Block Grants</t>
        </is>
      </c>
      <c r="D57" s="19" t="inlineStr">
        <is>
          <t>Public and Indian Housing (PIH) — Indian Housing Programs</t>
        </is>
      </c>
      <c r="E57" s="20" t="inlineStr">
        <is>
          <t>Assistant Secretary for Public and Indian Housing</t>
        </is>
      </c>
      <c r="F57" s="19" t="inlineStr">
        <is>
          <t>Grants that fund a range of affordable housing activities on Indian reservations and in Indian areas.</t>
        </is>
      </c>
      <c r="G57" s="19" t="inlineStr">
        <is>
          <t>Titles I through V of NAHASDA (25 U.S.C. 4101, et seq.).</t>
        </is>
      </c>
      <c r="H57" s="19" t="inlineStr">
        <is>
          <t>Regulations are at 24 CFR part 1000.</t>
        </is>
      </c>
      <c r="I57" s="21" t="inlineStr">
        <is>
          <t>https://www.hud.gov/program_offices/public_indian_housing/ih/grants/ihbg</t>
        </is>
      </c>
      <c r="J57" s="20" t="inlineStr">
        <is>
          <t>14.867</t>
        </is>
      </c>
      <c r="K57" s="20" t="inlineStr">
        <is>
          <t>IHBG; Native American Housing Block Grant Program (NAHBG)</t>
        </is>
      </c>
      <c r="L57" s="20" t="inlineStr">
        <is>
          <t>The Indian Housing Block Grants (IHBG) program is authorized under the Native American Housing Assistance and Self-Determination Act of 1996 (25 U.S.C. §4101 et seq.) (NAHASDA). Regulations for the program, which are found at 24 CFR Part 1000, were written by HUD in negotiation with Tribes and Tribally Designated Housing Entities (TDHEs). The grants, which are awarded based on a formula to Tribes and TDHEs, fund a range of affordable housing activities that primarily benefit low-income American Indian and Alaska Native families living in Indian Country and include activities that: 1) assist and promote affordable housing activities to develop, maintain, and operate affordable housing in safe and healthy environments on Indian reservations and in other Indian areas for occupancy by low-income Indian families; 2) coordinate activities to provide housing for Indian tribes and their members and to promote self-sufficiency and their members; 3) plan for and integrate infrastructure resources for Indian tribes with housing development for Indian tribes.</t>
        </is>
      </c>
      <c r="M57" s="20" t="inlineStr">
        <is>
          <t>Formula Grants,Project Grants</t>
        </is>
      </c>
      <c r="N57" s="20" t="inlineStr">
        <is>
          <t>American Indian,Federally Recognized Indian Tribal Governments,Low Income,Minority group,Moderate Income</t>
        </is>
      </c>
      <c r="O57" s="20" t="inlineStr">
        <is>
          <t>Federally Recognized lndian Tribal Governments,Local (includes State-designated lndian Tribes, excludes institutions of higher education and hospitals,Minority group</t>
        </is>
      </c>
      <c r="P57" s="22" t="n">
        <v>0</v>
      </c>
      <c r="Q57" s="22" t="n">
        <v>1256382595.77</v>
      </c>
      <c r="R57" s="22" t="n">
        <v>935786616.0599999</v>
      </c>
      <c r="S57" s="23" t="inlineStr">
        <is>
          <t>Household income test</t>
        </is>
      </c>
      <c r="T57" s="23" t="inlineStr">
        <is>
          <t>NAHASDA &amp; Native housing</t>
        </is>
      </c>
      <c r="U57" s="23" t="inlineStr">
        <is>
          <t>NAHASDA (25 U.S.C. 4103(9)(C), (14)); 24 CFR 1000.10</t>
        </is>
      </c>
      <c r="V57" s="23" t="inlineStr">
        <is>
          <t>Part 5 / Census long-form / IRS 1040 AGI (tribe/TDHE choice), subject to the statutory exclusion</t>
        </is>
      </c>
      <c r="W57" s="23" t="inlineStr">
        <is>
          <t>Grantee menu</t>
        </is>
      </c>
      <c r="X57" s="23" t="inlineStr">
        <is>
          <t>Excluded</t>
        </is>
      </c>
      <c r="Y57" s="23" t="inlineStr">
        <is>
          <t>Excluded</t>
        </is>
      </c>
      <c r="Z57" s="23">
        <f>IF(X57="","",IF(X57="Excluded","Consistent",IF(X57="Counted","Inconsistent",IF(X57="Varies (grantee/agency choice)","Partly inconsistent",IF(X57="Not applicable","Not applicable","Needs check")))))</f>
        <v/>
      </c>
      <c r="AA57" s="23" t="inlineStr">
        <is>
          <t>NAHASDA's statutory definition of 'income' (25 U.S.C. 4103(9)(C), added by PL 111-269 in 2010) excludes VA disability compensation under 38 U.S.C. chapter 11 and dependency and indemnity compensation under chapter 13. Because adjusted income is built from income, the exclusion carries into rent as well.</t>
        </is>
      </c>
      <c r="AB57" s="23" t="inlineStr">
        <is>
          <t>Congress amended NAHASDA in 2010 specifically to stop counting VA service-connected compensation against Native veteran families (S. Rept. 111-299).</t>
        </is>
      </c>
      <c r="AC57" s="23" t="inlineStr">
        <is>
          <t>CORRECTION to research report (which listed IHBG as 'counted' with only Part 5/Census options): 24 CFR 1000.10 also offers IRS 1040, and its Census option still lists 'Veterans' (VA) payments' — the regulation was never conformed to the 2010 statute, which controls. Rent exclusion inferred from the income definition.</t>
        </is>
      </c>
      <c r="AD57" s="23" t="inlineStr">
        <is>
          <t>Verified — primary source</t>
        </is>
      </c>
    </row>
    <row r="58" ht="229.5" customHeight="1">
      <c r="A58" s="18" t="n">
        <v>72</v>
      </c>
      <c r="B58" s="19" t="inlineStr">
        <is>
          <t>Indian Housing Block Grant (IHBG) Program</t>
        </is>
      </c>
      <c r="C58" s="20" t="inlineStr">
        <is>
          <t>Office of Native American Programs Training and Technical Assistance for Indian Housing Block Grant Program</t>
        </is>
      </c>
      <c r="D58" s="19" t="inlineStr">
        <is>
          <t>Public and Indian Housing (PIH) — Indian Housing Programs</t>
        </is>
      </c>
      <c r="E58" s="20" t="inlineStr">
        <is>
          <t>Assistant Secretary for Public and Indian Housing</t>
        </is>
      </c>
      <c r="F58" s="19" t="inlineStr">
        <is>
          <t>Grants that fund a range of affordable housing activities on Indian reservations and in Indian areas.</t>
        </is>
      </c>
      <c r="G58" s="19" t="inlineStr">
        <is>
          <t>Titles I through V of NAHASDA (25 U.S.C. 4101, et seq.).</t>
        </is>
      </c>
      <c r="H58" s="19" t="inlineStr">
        <is>
          <t>Regulations are at 24 CFR part 1000.</t>
        </is>
      </c>
      <c r="I58" s="21" t="inlineStr">
        <is>
          <t>https://www.hud.gov/program_offices/public_indian_housing/ih/grants/ihbg</t>
        </is>
      </c>
      <c r="J58" s="20" t="inlineStr">
        <is>
          <t>14.893</t>
        </is>
      </c>
      <c r="K58" s="20" t="n"/>
      <c r="L58" s="20" t="inlineStr">
        <is>
          <t>To provide technical assistance for Indian tribes, Alaska Native villages, and Tribally Designated Housing Entities (TDHEs) in the development of viable communities.</t>
        </is>
      </c>
      <c r="M58" s="20" t="inlineStr">
        <is>
          <t>Training</t>
        </is>
      </c>
      <c r="N58" s="20" t="inlineStr">
        <is>
          <t>American Indian,Federally Recognized Indian Tribal Governments,Native American Organizations</t>
        </is>
      </c>
      <c r="O58" s="20" t="inlineStr">
        <is>
          <t>Federally Recognized lndian Tribal Governments,Minority group,Native American Organizations (includes lndian groups, cooperatives, corporations, partnerships, associations),Other private institutions/organizations,Other public institution/organization,Private nonprofit institution/organization (includes institutions of higher education and hospitals),Profit organization,Public nonprofit institution/organization (includes institutions of higher education and hospitals),Quasi-public nonprofit institution/organization,Small business (less than 500 employees)</t>
        </is>
      </c>
      <c r="P58" s="22" t="n">
        <v>0</v>
      </c>
      <c r="Q58" s="22" t="n">
        <v>0</v>
      </c>
      <c r="R58" s="22" t="n">
        <v>0</v>
      </c>
      <c r="S58" s="23" t="inlineStr">
        <is>
          <t>Not income-tested</t>
        </is>
      </c>
      <c r="T58" s="23" t="inlineStr">
        <is>
          <t>NAHASDA &amp; Native housing</t>
        </is>
      </c>
      <c r="U58" s="23" t="inlineStr">
        <is>
          <t>—</t>
        </is>
      </c>
      <c r="V58" s="23" t="inlineStr">
        <is>
          <t>N/A</t>
        </is>
      </c>
      <c r="W58" s="23" t="inlineStr">
        <is>
          <t>N/A</t>
        </is>
      </c>
      <c r="X58" s="23" t="inlineStr">
        <is>
          <t>Not applicable</t>
        </is>
      </c>
      <c r="Y58" s="23" t="inlineStr">
        <is>
          <t>Not applicable</t>
        </is>
      </c>
      <c r="Z58" s="23">
        <f>IF(X58="","",IF(X58="Excluded","Consistent",IF(X58="Counted","Inconsistent",IF(X58="Varies (grantee/agency choice)","Partly inconsistent",IF(X58="Not applicable","Not applicable","Needs check")))))</f>
        <v/>
      </c>
      <c r="AA58" s="23" t="inlineStr">
        <is>
          <t>No household income eligibility test: training and technical assistance to tribes/TDHEs.</t>
        </is>
      </c>
      <c r="AB58" s="23" t="inlineStr">
        <is>
          <t>Not a means-tested household benefit.</t>
        </is>
      </c>
      <c r="AC58" s="23" t="n"/>
      <c r="AD58" s="23" t="inlineStr">
        <is>
          <t>Not verified — low risk (not income-tested)</t>
        </is>
      </c>
    </row>
    <row r="59" ht="229.5" customHeight="1">
      <c r="A59" s="18" t="n">
        <v>73</v>
      </c>
      <c r="B59" s="19" t="inlineStr">
        <is>
          <t>Section 184 Indian Housing Loan Guarantee Program (Section 184)</t>
        </is>
      </c>
      <c r="C59" s="20" t="inlineStr">
        <is>
          <t>Public and Indian Housing Indian Loan Guarantee Program</t>
        </is>
      </c>
      <c r="D59" s="19" t="inlineStr">
        <is>
          <t>Public and Indian Housing (PIH) — Indian Housing Programs</t>
        </is>
      </c>
      <c r="E59" s="20" t="inlineStr">
        <is>
          <t>Assistant Secretary for Public and Indian Housing</t>
        </is>
      </c>
      <c r="F59" s="19" t="inlineStr">
        <is>
          <t>Insures home mortgages made to American Indian and Alaska Native (AIAN) families, Indian housing authorities, and Indian tribes.</t>
        </is>
      </c>
      <c r="G59" s="19" t="inlineStr">
        <is>
          <t>Section 184 of the Housing and Community Development Act of 1992 (12 U.S.C. 1715z-13a).</t>
        </is>
      </c>
      <c r="H59" s="19" t="inlineStr">
        <is>
          <t>Regulations are at 24 CFR part 1005.</t>
        </is>
      </c>
      <c r="I59" s="21" t="inlineStr">
        <is>
          <t>https://www.hud.gov/program_offices/public_indian_housing/ih/homeownership/184</t>
        </is>
      </c>
      <c r="J59" s="20" t="inlineStr">
        <is>
          <t>14.865</t>
        </is>
      </c>
      <c r="K59" s="20" t="inlineStr">
        <is>
          <t>Section 184</t>
        </is>
      </c>
      <c r="L59" s="20" t="inlineStr">
        <is>
          <t>To provide access to sources of private financing so Native American families can become homeowners in Indian Country.</t>
        </is>
      </c>
      <c r="M59" s="20" t="inlineStr">
        <is>
          <t>Guaranteed / Insured Loans</t>
        </is>
      </c>
      <c r="N59" s="20" t="inlineStr">
        <is>
          <t>Federally Recognized Indian Tribal Governments,Local,Native American Organizations,Other private institution/organization,Private nonprofit institution/organization</t>
        </is>
      </c>
      <c r="O59" s="20" t="inlineStr">
        <is>
          <t>Federally Recognized lndian Tribal Governments,Local (includes State-designated lndian Tribes, excludes institutions of higher education and hospitals,Native American Organizations (includes lndian groups, cooperatives, corporations, partnerships, associations),Other private institutions/organizations,Private nonprofit institution/organization (includes institutions of higher education and hospitals)</t>
        </is>
      </c>
      <c r="P59" s="22" t="n">
        <v>0</v>
      </c>
      <c r="Q59" s="22" t="n">
        <v>0</v>
      </c>
      <c r="R59" s="22" t="n">
        <v>0</v>
      </c>
      <c r="S59" s="23" t="inlineStr">
        <is>
          <t>Underwriting only</t>
        </is>
      </c>
      <c r="T59" s="23" t="inlineStr">
        <is>
          <t>NAHASDA &amp; Native housing</t>
        </is>
      </c>
      <c r="U59" s="23" t="inlineStr">
        <is>
          <t>Housing and Community Development Act of 1992 §184 (12 U.S.C. 1715z-13a)</t>
        </is>
      </c>
      <c r="V59" s="23" t="inlineStr">
        <is>
          <t>N/A (credit underwriting, no income limit)</t>
        </is>
      </c>
      <c r="W59" s="23" t="inlineStr">
        <is>
          <t>N/A</t>
        </is>
      </c>
      <c r="X59" s="23" t="inlineStr">
        <is>
          <t>Not applicable</t>
        </is>
      </c>
      <c r="Y59" s="23" t="inlineStr">
        <is>
          <t>Not applicable</t>
        </is>
      </c>
      <c r="Z59" s="23">
        <f>IF(X59="","",IF(X59="Excluded","Consistent",IF(X59="Counted","Inconsistent",IF(X59="Varies (grantee/agency choice)","Partly inconsistent",IF(X59="Not applicable","Not applicable","Needs check")))))</f>
        <v/>
      </c>
      <c r="AA59" s="23" t="inlineStr">
        <is>
          <t>No HUD low-income eligibility test. Borrower income is assessed only for ability to repay under FHA underwriting.</t>
        </is>
      </c>
      <c r="AB59" s="23" t="inlineStr">
        <is>
          <t>Mortgage insurance/credit programs test repayment capacity, not need.</t>
        </is>
      </c>
      <c r="AC59" s="23" t="inlineStr">
        <is>
          <t>Loan guarantee with no income limit (Claude's understanding; not verified).</t>
        </is>
      </c>
      <c r="AD59" s="23" t="inlineStr">
        <is>
          <t>Not verified — low risk (not income-tested)</t>
        </is>
      </c>
    </row>
    <row r="60" ht="111.75" customHeight="1">
      <c r="A60" s="18" t="n">
        <v>74</v>
      </c>
      <c r="B60" s="19" t="inlineStr">
        <is>
          <t>Section 184A Native Hawaiian Housing Loan Guarantee Program (Section 184A)</t>
        </is>
      </c>
      <c r="C60" s="20" t="inlineStr">
        <is>
          <t xml:space="preserve">Loan Guarantees for Native Hawaiian Housing </t>
        </is>
      </c>
      <c r="D60" s="19" t="inlineStr">
        <is>
          <t>Public and Indian Housing (PIH) — Indian Housing Programs</t>
        </is>
      </c>
      <c r="E60" s="20" t="inlineStr">
        <is>
          <t>Assistant Secretary for Public and Indian Housing</t>
        </is>
      </c>
      <c r="F60" s="19" t="inlineStr">
        <is>
          <t>Insures home mortgages made to Native Hawaiian families living on Hawaiian Home Lands.</t>
        </is>
      </c>
      <c r="G60" s="19" t="inlineStr">
        <is>
          <t>Section 184A of the Housing and Community Development Act of 1992 (12 U.S.C. 1715z-13b).</t>
        </is>
      </c>
      <c r="H60" s="19" t="inlineStr">
        <is>
          <t>Regulations are at 24 CFR part 1007.</t>
        </is>
      </c>
      <c r="I60" s="21" t="inlineStr">
        <is>
          <t>https://www.hud.gov/program_offices/public_indian_housing/ih/codetalk/onap/program184a</t>
        </is>
      </c>
      <c r="J60" s="20" t="inlineStr">
        <is>
          <t>14.874</t>
        </is>
      </c>
      <c r="K60" s="20" t="inlineStr">
        <is>
          <t>Section 184A</t>
        </is>
      </c>
      <c r="L60" s="20" t="inlineStr">
        <is>
          <t>To provide access to sources of private financing on  Hawaiian home lands.</t>
        </is>
      </c>
      <c r="M60" s="20" t="inlineStr">
        <is>
          <t>Guaranteed / Insured Loans</t>
        </is>
      </c>
      <c r="N60" s="20" t="inlineStr">
        <is>
          <t>Individual/Family</t>
        </is>
      </c>
      <c r="O60" s="20" t="inlineStr">
        <is>
          <t>Individual/Family,Interstate,Private nonprofit institution/organization (includes institutions of higher education and hospitals),Quasi-public nonprofit institution/organization</t>
        </is>
      </c>
      <c r="P60" s="22" t="n">
        <v>0</v>
      </c>
      <c r="Q60" s="22" t="n">
        <v>0</v>
      </c>
      <c r="R60" s="22" t="n">
        <v>0</v>
      </c>
      <c r="S60" s="23" t="inlineStr">
        <is>
          <t>Underwriting only</t>
        </is>
      </c>
      <c r="T60" s="23" t="inlineStr">
        <is>
          <t>NAHASDA &amp; Native housing</t>
        </is>
      </c>
      <c r="U60" s="23" t="inlineStr">
        <is>
          <t>Housing and Community Development Act of 1992 §184A (12 U.S.C. 1715z-13b)</t>
        </is>
      </c>
      <c r="V60" s="23" t="inlineStr">
        <is>
          <t>N/A (credit underwriting, no income limit)</t>
        </is>
      </c>
      <c r="W60" s="23" t="inlineStr">
        <is>
          <t>N/A</t>
        </is>
      </c>
      <c r="X60" s="23" t="inlineStr">
        <is>
          <t>Not applicable</t>
        </is>
      </c>
      <c r="Y60" s="23" t="inlineStr">
        <is>
          <t>Not applicable</t>
        </is>
      </c>
      <c r="Z60" s="23">
        <f>IF(X60="","",IF(X60="Excluded","Consistent",IF(X60="Counted","Inconsistent",IF(X60="Varies (grantee/agency choice)","Partly inconsistent",IF(X60="Not applicable","Not applicable","Needs check")))))</f>
        <v/>
      </c>
      <c r="AA60" s="23" t="inlineStr">
        <is>
          <t>No HUD low-income eligibility test. Borrower income is assessed only for ability to repay under FHA underwriting.</t>
        </is>
      </c>
      <c r="AB60" s="23" t="inlineStr">
        <is>
          <t>Mortgage insurance/credit programs test repayment capacity, not need.</t>
        </is>
      </c>
      <c r="AC60" s="23" t="inlineStr">
        <is>
          <t>Loan guarantee with no income limit (Claude's understanding; not verified).</t>
        </is>
      </c>
      <c r="AD60" s="23" t="inlineStr">
        <is>
          <t>Not verified — low risk (not income-tested)</t>
        </is>
      </c>
    </row>
    <row r="61" ht="71.25" customHeight="1">
      <c r="A61" s="18" t="n">
        <v>75</v>
      </c>
      <c r="B61" s="19" t="inlineStr">
        <is>
          <t>Native Hawaiian Housing Block Grant (NHHBG) Program</t>
        </is>
      </c>
      <c r="C61" s="20" t="inlineStr">
        <is>
          <t>Native Hawaiian Housing Block Grants</t>
        </is>
      </c>
      <c r="D61" s="19" t="inlineStr">
        <is>
          <t>Public and Indian Housing (PIH) — Indian Housing Programs</t>
        </is>
      </c>
      <c r="E61" s="20" t="inlineStr">
        <is>
          <t>Assistant Secretary for Public and Indian Housing</t>
        </is>
      </c>
      <c r="F61" s="19" t="inlineStr">
        <is>
          <t>Grants that fund a range of affordable housing activities, including rental assistance both on and off Hawaiian Home Lands.</t>
        </is>
      </c>
      <c r="G61" s="19" t="inlineStr">
        <is>
          <t>Title VIII of the Native American Housing Assistance and Self-Determination Act of 1996 (NAHASDA) (25 U.S.C. 4221, et seq.).</t>
        </is>
      </c>
      <c r="H61" s="19" t="inlineStr">
        <is>
          <t>Regulations are at 24 CFR part 1006.</t>
        </is>
      </c>
      <c r="I61" s="21" t="inlineStr">
        <is>
          <t>https://www.hud.gov/program_offices/public_indian_housing/ih/codetalk/onap/nhhbgprogram</t>
        </is>
      </c>
      <c r="J61" s="20" t="inlineStr">
        <is>
          <t>14.873</t>
        </is>
      </c>
      <c r="K61" s="20" t="n"/>
      <c r="L61" s="20" t="inlineStr">
        <is>
          <t>To provide funds to carry out affordable housing activities, including rental assistance both on and off the Hawaiian home lands, for eligible low-income Native Hawaiians.</t>
        </is>
      </c>
      <c r="M61" s="20" t="inlineStr">
        <is>
          <t>Project Grants</t>
        </is>
      </c>
      <c r="N61" s="20" t="inlineStr">
        <is>
          <t>Specialized group (e.g. health professionals, students, veterans)</t>
        </is>
      </c>
      <c r="O61" s="20" t="inlineStr">
        <is>
          <t>Specialized group (e.g. health professionals, students, veterans)</t>
        </is>
      </c>
      <c r="P61" s="22" t="n">
        <v>0</v>
      </c>
      <c r="Q61" s="22" t="n">
        <v>22300000</v>
      </c>
      <c r="R61" s="22" t="n">
        <v>22802306.59</v>
      </c>
      <c r="S61" s="23" t="inlineStr">
        <is>
          <t>Household income test</t>
        </is>
      </c>
      <c r="T61" s="23" t="inlineStr">
        <is>
          <t>NAHASDA &amp; Native housing</t>
        </is>
      </c>
      <c r="U61" s="23" t="inlineStr">
        <is>
          <t>NAHASDA Title VIII (25 U.S.C. 4221 et seq.); 24 CFR 1006.10</t>
        </is>
      </c>
      <c r="V61" s="23" t="inlineStr">
        <is>
          <t>Part 5 / Census long-form (lists VA payments) / IRS 1040 AGI (DHHL choice)</t>
        </is>
      </c>
      <c r="W61" s="23" t="inlineStr">
        <is>
          <t>Grantee menu</t>
        </is>
      </c>
      <c r="X61" s="23" t="inlineStr">
        <is>
          <t>Unclear / needs check</t>
        </is>
      </c>
      <c r="Y61" s="23" t="inlineStr">
        <is>
          <t>Unclear / needs check</t>
        </is>
      </c>
      <c r="Z61" s="23">
        <f>IF(X61="","",IF(X61="Excluded","Consistent",IF(X61="Counted","Inconsistent",IF(X61="Varies (grantee/agency choice)","Partly inconsistent",IF(X61="Not applicable","Not applicable","Needs check")))))</f>
        <v/>
      </c>
      <c r="AA61" s="23" t="inlineStr">
        <is>
          <t>24 CFR 1006.10 offers three definitions (VA compensation counted under Part 5 and Census, excluded under IRS 1040). Title VIII's own definitions (25 U.S.C. 4221) don't define income; whether NAHASDA §4's income definition and its VA exclusion (4103(9)(C)) reach Title VIII wasn't resolved.</t>
        </is>
      </c>
      <c r="AB61" s="23" t="inlineStr">
        <is>
          <t>Native Hawaiian block grant mirrors IHBG's menu approach.</t>
        </is>
      </c>
      <c r="AC61" s="23" t="inlineStr">
        <is>
          <t>If §4103(9)(C) applies to Title VIII, VA compensation is excluded by statute (as for IHBG); otherwise treatment varies by DHHL's chosen definition. Worth asking ONAP.</t>
        </is>
      </c>
      <c r="AD61" s="23" t="inlineStr">
        <is>
          <t>Partly verified</t>
        </is>
      </c>
    </row>
    <row r="62" ht="57.75" customHeight="1">
      <c r="A62" s="18" t="n">
        <v>76</v>
      </c>
      <c r="B62" s="19" t="inlineStr">
        <is>
          <t>Tribal Housing Activities Loan Guarantee Program (Title VI)</t>
        </is>
      </c>
      <c r="C62" s="20" t="inlineStr">
        <is>
          <t>Title VI Federal Guarantees for Financing Tribal Housing Activities</t>
        </is>
      </c>
      <c r="D62" s="19" t="inlineStr">
        <is>
          <t>Public and Indian Housing (PIH) — Indian Housing Programs</t>
        </is>
      </c>
      <c r="E62" s="20" t="inlineStr">
        <is>
          <t>Assistant Secretary for Public and Indian Housing</t>
        </is>
      </c>
      <c r="F62" s="19" t="inlineStr">
        <is>
          <t>Guarantees private loans made to Indian Housing Block Grant recipients that want to finance additional grant-eligible affordable housing and related community development projects.</t>
        </is>
      </c>
      <c r="G62" s="19" t="inlineStr">
        <is>
          <t>Title VI of the Native American Housing Assistance and Self-Determination Act of 1996 (NAHASDA) (25 U.S.C. 4191, et seq.).</t>
        </is>
      </c>
      <c r="H62" s="19" t="inlineStr">
        <is>
          <t>Regulations are at 24 CFR part 1000, subpart E.</t>
        </is>
      </c>
      <c r="I62" s="21" t="inlineStr">
        <is>
          <t>https://www.hud.gov/program_offices/public_indian_housing/ih/homeownership/titlevi</t>
        </is>
      </c>
      <c r="J62" s="20" t="inlineStr">
        <is>
          <t>14.869</t>
        </is>
      </c>
      <c r="K62" s="20" t="inlineStr">
        <is>
          <t>Title VI</t>
        </is>
      </c>
      <c r="L62" s="20" t="inlineStr">
        <is>
          <t>To provide access to sources of private financing to Indian Housing Block Grant recipients that want to finance additional grant-eligible affordable housing and related community development projects.</t>
        </is>
      </c>
      <c r="M62" s="20" t="inlineStr">
        <is>
          <t>Guaranteed / Insured Loans</t>
        </is>
      </c>
      <c r="N62" s="20" t="inlineStr">
        <is>
          <t>American Indian,Native American Organizations</t>
        </is>
      </c>
      <c r="O62" s="20" t="inlineStr">
        <is>
          <t>Federally Recognized lndian Tribal Governments</t>
        </is>
      </c>
      <c r="P62" s="22" t="n">
        <v>0</v>
      </c>
      <c r="Q62" s="22" t="n">
        <v>0</v>
      </c>
      <c r="R62" s="22" t="n">
        <v>0</v>
      </c>
      <c r="S62" s="23" t="inlineStr">
        <is>
          <t>Household income test</t>
        </is>
      </c>
      <c r="T62" s="23" t="inlineStr">
        <is>
          <t>NAHASDA &amp; Native housing</t>
        </is>
      </c>
      <c r="U62" s="23" t="inlineStr">
        <is>
          <t>NAHASDA Title VI (25 U.S.C. 4191 et seq.); 25 U.S.C. 4103(9)(C)</t>
        </is>
      </c>
      <c r="V62" s="23" t="inlineStr">
        <is>
          <t>NAHASDA income (via IHBG-eligible activities)</t>
        </is>
      </c>
      <c r="W62" s="23" t="inlineStr">
        <is>
          <t>N/A</t>
        </is>
      </c>
      <c r="X62" s="23" t="inlineStr">
        <is>
          <t>Excluded</t>
        </is>
      </c>
      <c r="Y62" s="23" t="inlineStr">
        <is>
          <t>Excluded</t>
        </is>
      </c>
      <c r="Z62" s="23">
        <f>IF(X62="","",IF(X62="Excluded","Consistent",IF(X62="Counted","Inconsistent",IF(X62="Varies (grantee/agency choice)","Partly inconsistent",IF(X62="Not applicable","Not applicable","Needs check")))))</f>
        <v/>
      </c>
      <c r="AA62" s="23" t="inlineStr">
        <is>
          <t>Title VI guarantees finance NAHASDA affordable housing activities for low-income families, so NAHASDA's statutory income definition (which excludes VA compensation and DIC) applies.</t>
        </is>
      </c>
      <c r="AB62" s="23" t="inlineStr">
        <is>
          <t>Congress amended NAHASDA in 2010 specifically to stop counting VA service-connected compensation against Native veteran families (S. Rept. 111-299).</t>
        </is>
      </c>
      <c r="AC62" s="23" t="inlineStr">
        <is>
          <t>Application to Title VI inferred from NAHASDA structure.</t>
        </is>
      </c>
      <c r="AD62" s="23" t="inlineStr">
        <is>
          <t>Partly verified</t>
        </is>
      </c>
    </row>
    <row r="63" ht="138.75" customHeight="1">
      <c r="A63" s="18" t="n">
        <v>82</v>
      </c>
      <c r="B63" s="19" t="inlineStr">
        <is>
          <t>Fair Housing Assistance Program (FHAP)</t>
        </is>
      </c>
      <c r="C63" s="20" t="inlineStr">
        <is>
          <t>Fair Housing Assistance Program</t>
        </is>
      </c>
      <c r="D63" s="19" t="inlineStr">
        <is>
          <t>Fair Housing and Equal Opportunity</t>
        </is>
      </c>
      <c r="E63" s="20" t="inlineStr">
        <is>
          <t>Assistant Secretary for Fair Housing and Equal Opportunity</t>
        </is>
      </c>
      <c r="F63" s="19" t="inlineStr">
        <is>
          <t>Funding to provide assistance and reimbursements to State and local fair housing enforcement agencies that enforce fair housing laws that are substantially equivalent to the Fair Housing Act.</t>
        </is>
      </c>
      <c r="G63" s="19" t="inlineStr">
        <is>
          <t>Sections 810(f) and 817 of the Civil Rights Act of 1968 (42 U.S.C. 3610; 42 U.S.C. 3616).</t>
        </is>
      </c>
      <c r="H63" s="19" t="inlineStr">
        <is>
          <t>Regulations are at 24 CFR part 115.</t>
        </is>
      </c>
      <c r="I63" s="21" t="inlineStr">
        <is>
          <t>https://www.hud.gov/program_offices/fair_housing_equal_opp/partners/FHAP</t>
        </is>
      </c>
      <c r="J63" s="20" t="inlineStr">
        <is>
          <t>14.401</t>
        </is>
      </c>
      <c r="K63" s="20" t="inlineStr">
        <is>
          <t>(FHAP)</t>
        </is>
      </c>
      <c r="L63" s="20" t="inlineStr">
        <is>
          <t>Provide assistance to State and local fair housing enforcement agencies for complaint processing, training, technical assistance, education and outreach, data and information systems and other activities that will further fair housing within the agency's jurisdiction. The intent of the Fair Housing Assistance Program (FHAP) is to build a coordinated intergovernmental enforcement of fair housing laws and provide incentives for States and localities to assume a greater share of responsibility for administering fair housing laws.</t>
        </is>
      </c>
      <c r="M63" s="20" t="inlineStr">
        <is>
          <t>Formula Grants</t>
        </is>
      </c>
      <c r="N63" s="20" t="inlineStr">
        <is>
          <t>Anyone/general public,Individual/Family</t>
        </is>
      </c>
      <c r="O63" s="20" t="inlineStr">
        <is>
          <t>Other public institution/organization,State</t>
        </is>
      </c>
      <c r="P63" s="22" t="n">
        <v>0</v>
      </c>
      <c r="Q63" s="22" t="n">
        <v>22691321.64</v>
      </c>
      <c r="R63" s="22" t="n">
        <v>27732584.92</v>
      </c>
      <c r="S63" s="23" t="inlineStr">
        <is>
          <t>Not income-tested</t>
        </is>
      </c>
      <c r="T63" s="23" t="inlineStr">
        <is>
          <t>Other statutes &amp; appropriations</t>
        </is>
      </c>
      <c r="U63" s="23" t="inlineStr">
        <is>
          <t>Fair Housing Act (42 U.S.C. 3601 et seq.)</t>
        </is>
      </c>
      <c r="V63" s="23" t="inlineStr">
        <is>
          <t>N/A</t>
        </is>
      </c>
      <c r="W63" s="23" t="inlineStr">
        <is>
          <t>N/A</t>
        </is>
      </c>
      <c r="X63" s="23" t="inlineStr">
        <is>
          <t>Not applicable</t>
        </is>
      </c>
      <c r="Y63" s="23" t="inlineStr">
        <is>
          <t>Not applicable</t>
        </is>
      </c>
      <c r="Z63" s="23">
        <f>IF(X63="","",IF(X63="Excluded","Consistent",IF(X63="Counted","Inconsistent",IF(X63="Varies (grantee/agency choice)","Partly inconsistent",IF(X63="Not applicable","Not applicable","Needs check")))))</f>
        <v/>
      </c>
      <c r="AA63" s="23" t="inlineStr">
        <is>
          <t>No household income eligibility test: fair housing enforcement and education grants.</t>
        </is>
      </c>
      <c r="AB63" s="23" t="inlineStr">
        <is>
          <t>Not a means-tested household benefit.</t>
        </is>
      </c>
      <c r="AC63" s="23" t="n"/>
      <c r="AD63" s="23" t="inlineStr">
        <is>
          <t>Not verified — low risk (not income-tested)</t>
        </is>
      </c>
    </row>
    <row r="64" ht="229.5" customHeight="1">
      <c r="A64" s="18" t="n">
        <v>83</v>
      </c>
      <c r="B64" s="19" t="inlineStr">
        <is>
          <t>Fair Housing Initiatives Program (FHIP)</t>
        </is>
      </c>
      <c r="C64" s="20" t="inlineStr">
        <is>
          <t>Fair Housing Initiatives Program</t>
        </is>
      </c>
      <c r="D64" s="19" t="inlineStr">
        <is>
          <t>Fair Housing and Equal Opportunity</t>
        </is>
      </c>
      <c r="E64" s="20" t="inlineStr">
        <is>
          <t>Assistant Secretary for Fair Housing and Equal Opportunity</t>
        </is>
      </c>
      <c r="F64" s="19" t="inlineStr">
        <is>
          <t>Grants to public and private entities formulating or carrying out programs to prevent or eliminate discriminatory housing practices against all protected class groups under the Federal Fair Housing Act.</t>
        </is>
      </c>
      <c r="G64" s="19" t="inlineStr">
        <is>
          <t>Section 561 of the Housing and Community Development Act of 1987 (42 U.S.C. 3616a).</t>
        </is>
      </c>
      <c r="H64" s="19" t="inlineStr">
        <is>
          <t>Regulations are at 24 CFR part 125.</t>
        </is>
      </c>
      <c r="I64" s="21" t="inlineStr">
        <is>
          <t>https://www.hud.gov/program_offices/fair_housing_equal_opp/partners/FHIP/fhip</t>
        </is>
      </c>
      <c r="J64" s="20" t="inlineStr">
        <is>
          <t>14.408</t>
        </is>
      </c>
      <c r="K64" s="20" t="inlineStr">
        <is>
          <t>(FHIP) Department of Housing and Urban Development, Office of Fair Housing and Equal Opportunity</t>
        </is>
      </c>
      <c r="L64" s="20" t="inlineStr">
        <is>
          <t>To develop, implement, carry out, or coordinate programs and/or activities to educate the public about, as well as provide enforcement of, fair housing rights under the Fair Housing Act; 42 U.S.C. 3601-3619 or State or local laws that provide substantially equivalent rights and remedies for alleged discriminatory housing practices. Objectives include provisions for strengthening existing or establishing new fair housing enforcement organizations.</t>
        </is>
      </c>
      <c r="M64" s="20" t="inlineStr">
        <is>
          <t>Project Grants</t>
        </is>
      </c>
      <c r="N64" s="20" t="inlineStr">
        <is>
          <t>Individual/Family,Minority group,Specialized group (e.g. health professionals, students, veterans)</t>
        </is>
      </c>
      <c r="O64" s="20" t="inlineStr">
        <is>
          <t>Local (includes State-designated lndian Tribes, excludes institutions of higher education and hospitals,Private nonprofit institution/organization (includes institutions of higher education and hospitals),Public nonprofit institution/organization (includes institutions of higher education and hospitals),State (includes District of Columbia, public institutions of higher education and hospitals)</t>
        </is>
      </c>
      <c r="P64" s="22" t="n">
        <v>0</v>
      </c>
      <c r="Q64" s="22" t="n">
        <v>0</v>
      </c>
      <c r="R64" s="22" t="n">
        <v>0</v>
      </c>
      <c r="S64" s="23" t="inlineStr">
        <is>
          <t>Not income-tested</t>
        </is>
      </c>
      <c r="T64" s="23" t="inlineStr">
        <is>
          <t>Other statutes &amp; appropriations</t>
        </is>
      </c>
      <c r="U64" s="23" t="inlineStr">
        <is>
          <t>Fair Housing Act (42 U.S.C. 3601 et seq.)</t>
        </is>
      </c>
      <c r="V64" s="23" t="inlineStr">
        <is>
          <t>N/A</t>
        </is>
      </c>
      <c r="W64" s="23" t="inlineStr">
        <is>
          <t>N/A</t>
        </is>
      </c>
      <c r="X64" s="23" t="inlineStr">
        <is>
          <t>Not applicable</t>
        </is>
      </c>
      <c r="Y64" s="23" t="inlineStr">
        <is>
          <t>Not applicable</t>
        </is>
      </c>
      <c r="Z64" s="23">
        <f>IF(X64="","",IF(X64="Excluded","Consistent",IF(X64="Counted","Inconsistent",IF(X64="Varies (grantee/agency choice)","Partly inconsistent",IF(X64="Not applicable","Not applicable","Needs check")))))</f>
        <v/>
      </c>
      <c r="AA64" s="23" t="inlineStr">
        <is>
          <t>No household income eligibility test: fair housing enforcement and education grants.</t>
        </is>
      </c>
      <c r="AB64" s="23" t="inlineStr">
        <is>
          <t>Not a means-tested household benefit.</t>
        </is>
      </c>
      <c r="AC64" s="23" t="n"/>
      <c r="AD64" s="23" t="inlineStr">
        <is>
          <t>Not verified — low risk (not income-tested)</t>
        </is>
      </c>
    </row>
    <row r="65" ht="229.5" customHeight="1">
      <c r="A65" s="18" t="n">
        <v>83</v>
      </c>
      <c r="B65" s="19" t="inlineStr">
        <is>
          <t>Fair Housing Initiatives Program (FHIP)</t>
        </is>
      </c>
      <c r="C65" s="20" t="inlineStr">
        <is>
          <t>Education and Outreach Initiatives</t>
        </is>
      </c>
      <c r="D65" s="19" t="inlineStr">
        <is>
          <t>Fair Housing and Equal Opportunity</t>
        </is>
      </c>
      <c r="E65" s="20" t="inlineStr">
        <is>
          <t>Assistant Secretary for Fair Housing and Equal Opportunity</t>
        </is>
      </c>
      <c r="F65" s="19" t="inlineStr">
        <is>
          <t>Grants to public and private entities formulating or carrying out programs to prevent or eliminate discriminatory housing practices against all protected class groups under the Federal Fair Housing Act.</t>
        </is>
      </c>
      <c r="G65" s="19" t="inlineStr">
        <is>
          <t>Section 561 of the Housing and Community Development Act of 1987 (42 U.S.C. 3616a).</t>
        </is>
      </c>
      <c r="H65" s="19" t="inlineStr">
        <is>
          <t>Regulations are at 24 CFR part 125.</t>
        </is>
      </c>
      <c r="I65" s="21" t="inlineStr">
        <is>
          <t>https://www.hud.gov/program_offices/fair_housing_equal_opp/partners/FHIP/fhip</t>
        </is>
      </c>
      <c r="J65" s="20" t="inlineStr">
        <is>
          <t>14.416</t>
        </is>
      </c>
      <c r="K65" s="20" t="inlineStr">
        <is>
          <t>(FHIP EOI) Federal Agency   Department of Housing and Urban Development - Office of Fair Housing and Equal Opportunity</t>
        </is>
      </c>
      <c r="L65" s="20" t="inlineStr">
        <is>
          <t>To assist organizations that are regional and local, community based and National programs, that develop, implement, carry out, or coordinate programs and/or activities to educate the public about their rights under, the Fair Housing Act (42 U.S.C. 3601-3619) or about State or local laws that provide substantially equivalent rights and remedies for alleged discriminatory housing practices.</t>
        </is>
      </c>
      <c r="M65" s="20" t="inlineStr">
        <is>
          <t>Project Grants</t>
        </is>
      </c>
      <c r="N65" s="20" t="inlineStr">
        <is>
          <t>Consumer,Disabled (e.g. Deaf, Blind, Physically Disabled),Homeowner,Individual/Family,Local,Mentally Disabled,Other public institution/organization,Public nonprofit institution/organization,State,Women</t>
        </is>
      </c>
      <c r="O65" s="20" t="inlineStr">
        <is>
          <t>Local (includes State-designated lndian Tribes, excludes institutions of higher education and hospitals,Private nonprofit institution/organization (includes institutions of higher education and hospitals),Public nonprofit institution/organization (includes institutions of higher education and hospitals),State (includes District of Columbia, public institutions of higher education and hospitals)</t>
        </is>
      </c>
      <c r="P65" s="22" t="n">
        <v>0</v>
      </c>
      <c r="Q65" s="22" t="n">
        <v>-40015.39</v>
      </c>
      <c r="R65" s="22" t="n">
        <v>-143986.89</v>
      </c>
      <c r="S65" s="23" t="inlineStr">
        <is>
          <t>Not income-tested</t>
        </is>
      </c>
      <c r="T65" s="23" t="inlineStr">
        <is>
          <t>Other statutes &amp; appropriations</t>
        </is>
      </c>
      <c r="U65" s="23" t="inlineStr">
        <is>
          <t>Fair Housing Act (42 U.S.C. 3601 et seq.)</t>
        </is>
      </c>
      <c r="V65" s="23" t="inlineStr">
        <is>
          <t>N/A</t>
        </is>
      </c>
      <c r="W65" s="23" t="inlineStr">
        <is>
          <t>N/A</t>
        </is>
      </c>
      <c r="X65" s="23" t="inlineStr">
        <is>
          <t>Not applicable</t>
        </is>
      </c>
      <c r="Y65" s="23" t="inlineStr">
        <is>
          <t>Not applicable</t>
        </is>
      </c>
      <c r="Z65" s="23">
        <f>IF(X65="","",IF(X65="Excluded","Consistent",IF(X65="Counted","Inconsistent",IF(X65="Varies (grantee/agency choice)","Partly inconsistent",IF(X65="Not applicable","Not applicable","Needs check")))))</f>
        <v/>
      </c>
      <c r="AA65" s="23" t="inlineStr">
        <is>
          <t>No household income eligibility test: fair housing enforcement and education grants.</t>
        </is>
      </c>
      <c r="AB65" s="23" t="inlineStr">
        <is>
          <t>Not a means-tested household benefit.</t>
        </is>
      </c>
      <c r="AC65" s="23" t="n"/>
      <c r="AD65" s="23" t="inlineStr">
        <is>
          <t>Not verified — low risk (not income-tested)</t>
        </is>
      </c>
    </row>
    <row r="66" ht="179.25" customHeight="1">
      <c r="A66" s="18" t="n">
        <v>83</v>
      </c>
      <c r="B66" s="19" t="inlineStr">
        <is>
          <t>Fair Housing Initiatives Program (FHIP)</t>
        </is>
      </c>
      <c r="C66" s="20" t="inlineStr">
        <is>
          <t>Fair Housing Organization Initiatives</t>
        </is>
      </c>
      <c r="D66" s="19" t="inlineStr">
        <is>
          <t>Fair Housing and Equal Opportunity</t>
        </is>
      </c>
      <c r="E66" s="20" t="inlineStr">
        <is>
          <t>Assistant Secretary for Fair Housing and Equal Opportunity</t>
        </is>
      </c>
      <c r="F66" s="19" t="inlineStr">
        <is>
          <t>Grants to public and private entities formulating or carrying out programs to prevent or eliminate discriminatory housing practices against all protected class groups under the Federal Fair Housing Act.</t>
        </is>
      </c>
      <c r="G66" s="19" t="inlineStr">
        <is>
          <t>Section 561 of the Housing and Community Development Act of 1987 (42 U.S.C. 3616a).</t>
        </is>
      </c>
      <c r="H66" s="19" t="inlineStr">
        <is>
          <t>Regulations are at 24 CFR part 125.</t>
        </is>
      </c>
      <c r="I66" s="21" t="inlineStr">
        <is>
          <t>https://www.hud.gov/program_offices/fair_housing_equal_opp/partners/FHIP/fhip</t>
        </is>
      </c>
      <c r="J66" s="20" t="inlineStr">
        <is>
          <t>14.417</t>
        </is>
      </c>
      <c r="K66" s="20" t="inlineStr">
        <is>
          <t>(FHIP FHOI) Federal Agency  Department of Housing and Urban Development - Office of Fair Housing and Equal Opportunity</t>
        </is>
      </c>
      <c r="L66" s="20" t="inlineStr">
        <is>
          <t>To assist organizations that are regional and local, community based and National programs, that develop, implement, carry out, or coordinate programs and/or activities to educate the public about their rights under, the Fair Housing Act (42 U.S.C. 3601-3619) or about State or local laws that provide substantially equivalent rights and remedies for alleged discriminatory housing practices.</t>
        </is>
      </c>
      <c r="M66" s="20" t="inlineStr">
        <is>
          <t>Project Grants</t>
        </is>
      </c>
      <c r="N66" s="20" t="inlineStr">
        <is>
          <t>Consumer,Disabled (e.g. Deaf, Blind, Physically Disabled),Homeowner,Individual/Family,Local,Mentally Disabled,Public nonprofit institution/organization,State,Women</t>
        </is>
      </c>
      <c r="O66" s="20" t="inlineStr">
        <is>
          <t>Local (includes State-designated lndian Tribes, excludes institutions of higher education and hospitals,Public nonprofit institution/organization (includes institutions of higher education and hospitals),State (includes District of Columbia, public institutions of higher education and hospitals)</t>
        </is>
      </c>
      <c r="P66" s="22" t="n">
        <v>0</v>
      </c>
      <c r="Q66" s="22" t="n">
        <v>14136128.68</v>
      </c>
      <c r="R66" s="22" t="n">
        <v>13716085.95</v>
      </c>
      <c r="S66" s="23" t="inlineStr">
        <is>
          <t>Not income-tested</t>
        </is>
      </c>
      <c r="T66" s="23" t="inlineStr">
        <is>
          <t>Other statutes &amp; appropriations</t>
        </is>
      </c>
      <c r="U66" s="23" t="inlineStr">
        <is>
          <t>Fair Housing Act (42 U.S.C. 3601 et seq.)</t>
        </is>
      </c>
      <c r="V66" s="23" t="inlineStr">
        <is>
          <t>N/A</t>
        </is>
      </c>
      <c r="W66" s="23" t="inlineStr">
        <is>
          <t>N/A</t>
        </is>
      </c>
      <c r="X66" s="23" t="inlineStr">
        <is>
          <t>Not applicable</t>
        </is>
      </c>
      <c r="Y66" s="23" t="inlineStr">
        <is>
          <t>Not applicable</t>
        </is>
      </c>
      <c r="Z66" s="23">
        <f>IF(X66="","",IF(X66="Excluded","Consistent",IF(X66="Counted","Inconsistent",IF(X66="Varies (grantee/agency choice)","Partly inconsistent",IF(X66="Not applicable","Not applicable","Needs check")))))</f>
        <v/>
      </c>
      <c r="AA66" s="23" t="inlineStr">
        <is>
          <t>No household income eligibility test: fair housing enforcement and education grants.</t>
        </is>
      </c>
      <c r="AB66" s="23" t="inlineStr">
        <is>
          <t>Not a means-tested household benefit.</t>
        </is>
      </c>
      <c r="AC66" s="23" t="n"/>
      <c r="AD66" s="23" t="inlineStr">
        <is>
          <t>Not verified — low risk (not income-tested)</t>
        </is>
      </c>
    </row>
    <row r="67" ht="138.75" customHeight="1">
      <c r="A67" s="18" t="n">
        <v>83</v>
      </c>
      <c r="B67" s="19" t="inlineStr">
        <is>
          <t>Fair Housing Initiatives Program (FHIP)</t>
        </is>
      </c>
      <c r="C67" s="20" t="inlineStr">
        <is>
          <t xml:space="preserve">Private Enforcement Initiatives </t>
        </is>
      </c>
      <c r="D67" s="19" t="inlineStr">
        <is>
          <t>Fair Housing and Equal Opportunity</t>
        </is>
      </c>
      <c r="E67" s="20" t="inlineStr">
        <is>
          <t>Assistant Secretary for Fair Housing and Equal Opportunity</t>
        </is>
      </c>
      <c r="F67" s="19" t="inlineStr">
        <is>
          <t>Grants to public and private entities formulating or carrying out programs to prevent or eliminate discriminatory housing practices against all protected class groups under the Federal Fair Housing Act.</t>
        </is>
      </c>
      <c r="G67" s="19" t="inlineStr">
        <is>
          <t>Section 561 of the Housing and Community Development Act of 1987 (42 U.S.C. 3616a).</t>
        </is>
      </c>
      <c r="H67" s="19" t="inlineStr">
        <is>
          <t>Regulations are at 24 CFR part 125.</t>
        </is>
      </c>
      <c r="I67" s="21" t="inlineStr">
        <is>
          <t>https://www.hud.gov/program_offices/fair_housing_equal_opp/partners/FHIP/fhip</t>
        </is>
      </c>
      <c r="J67" s="20" t="inlineStr">
        <is>
          <t>14.418</t>
        </is>
      </c>
      <c r="K67" s="20" t="inlineStr">
        <is>
          <t>(FHIP PEI) United States Department of Housing and Urban Development - Office of Fair Housing and Equal Opportunity</t>
        </is>
      </c>
      <c r="L67" s="20" t="inlineStr">
        <is>
          <t>To assist private non-profit fair housing enforcement organizations in the investigation and enforcement of violations of the rights granted under title VIII of the Civil Rights Act of 1968 (42 U.S.C. 2801). To develop, implement, and carry out, related activities and enforcement under the Fair Housing Act or State or local laws that provide substantially equivalent rights and remedies for alleged discriminatory housing practices. Objectives include carrying out testing and other investigative activities.</t>
        </is>
      </c>
      <c r="M67" s="20" t="inlineStr">
        <is>
          <t>Project Grants</t>
        </is>
      </c>
      <c r="N67" s="20" t="inlineStr">
        <is>
          <t>Anyone/general public,Consumer,Disabled (e.g. Deaf, Blind, Physically Disabled),Homeowner,Individual/Family,Local,Mentally Disabled,Public nonprofit institution/organization,State,Women</t>
        </is>
      </c>
      <c r="O67" s="20" t="inlineStr">
        <is>
          <t>Anyone/general public,Individual/Family,Minority group,Public nonprofit institution/organization (includes institutions of higher education and hospitals),State</t>
        </is>
      </c>
      <c r="P67" s="22" t="n">
        <v>0</v>
      </c>
      <c r="Q67" s="22" t="n">
        <v>24395900.54</v>
      </c>
      <c r="R67" s="22" t="n">
        <v>56409029.59</v>
      </c>
      <c r="S67" s="23" t="inlineStr">
        <is>
          <t>Not income-tested</t>
        </is>
      </c>
      <c r="T67" s="23" t="inlineStr">
        <is>
          <t>Other statutes &amp; appropriations</t>
        </is>
      </c>
      <c r="U67" s="23" t="inlineStr">
        <is>
          <t>Fair Housing Act (42 U.S.C. 3601 et seq.)</t>
        </is>
      </c>
      <c r="V67" s="23" t="inlineStr">
        <is>
          <t>N/A</t>
        </is>
      </c>
      <c r="W67" s="23" t="inlineStr">
        <is>
          <t>N/A</t>
        </is>
      </c>
      <c r="X67" s="23" t="inlineStr">
        <is>
          <t>Not applicable</t>
        </is>
      </c>
      <c r="Y67" s="23" t="inlineStr">
        <is>
          <t>Not applicable</t>
        </is>
      </c>
      <c r="Z67" s="23">
        <f>IF(X67="","",IF(X67="Excluded","Consistent",IF(X67="Counted","Inconsistent",IF(X67="Varies (grantee/agency choice)","Partly inconsistent",IF(X67="Not applicable","Not applicable","Needs check")))))</f>
        <v/>
      </c>
      <c r="AA67" s="23" t="inlineStr">
        <is>
          <t>No household income eligibility test: fair housing enforcement and education grants.</t>
        </is>
      </c>
      <c r="AB67" s="23" t="inlineStr">
        <is>
          <t>Not a means-tested household benefit.</t>
        </is>
      </c>
      <c r="AC67" s="23" t="n"/>
      <c r="AD67" s="23" t="inlineStr">
        <is>
          <t>Not verified — low risk (not income-tested)</t>
        </is>
      </c>
    </row>
    <row r="68" ht="111.75" customHeight="1">
      <c r="A68" s="18" t="n">
        <v>85</v>
      </c>
      <c r="B68" s="19" t="inlineStr">
        <is>
          <t>Policy Development and Research Initiatives</t>
        </is>
      </c>
      <c r="C68" s="20" t="inlineStr">
        <is>
          <t>General Research and Technology Activity</t>
        </is>
      </c>
      <c r="D68" s="19" t="inlineStr">
        <is>
          <t>Policy Development and Research (PD&amp;R)</t>
        </is>
      </c>
      <c r="E68" s="20" t="inlineStr">
        <is>
          <t>Assistant Secretary for Policy Development and Research</t>
        </is>
      </c>
      <c r="F68" s="19" t="inlineStr">
        <is>
          <t>Supports the Department's efforts to help create cohesive, economically healthy communities by providing reliable and objective data and analysis.</t>
        </is>
      </c>
      <c r="G68" s="19" t="inlineStr">
        <is>
          <t>Title V of the Housing and Urban Development Act of 1970 (12 U.S.C. 1701z-1, et seq.).</t>
        </is>
      </c>
      <c r="H68" s="19" t="n"/>
      <c r="I68" s="21" t="inlineStr">
        <is>
          <t>https://www.huduser.gov/portal/about/pdrabout.html</t>
        </is>
      </c>
      <c r="J68" s="20" t="inlineStr">
        <is>
          <t>14.506</t>
        </is>
      </c>
      <c r="K68" s="20" t="n"/>
      <c r="L68" s="20" t="inlineStr">
        <is>
          <t>What all funding does this listing include? All Core R&amp;T activities (per the PDR Congressional Justifications)? If so, the description/objective should be more broad to include discussion of the other work PDR does with these funds, e.g., Housing Data Infrastructure, Knowledge Management, Dissemination, and Outreach, research partnerships, etc.</t>
        </is>
      </c>
      <c r="M68" s="20" t="inlineStr">
        <is>
          <t>Project Grants</t>
        </is>
      </c>
      <c r="N68" s="20" t="inlineStr">
        <is>
          <t>Federal,Other private institution/organization,Private nonprofit institution/organization,Profit organization,Quasi-public nonprofit organization,Scientist/Researchers,Small business</t>
        </is>
      </c>
      <c r="O68" s="20" t="inlineStr">
        <is>
          <t>Federal,Profit organization,Quasi-public nonprofit institution/organization,Small business (less than 500 employees)</t>
        </is>
      </c>
      <c r="P68" s="22" t="n">
        <v>0</v>
      </c>
      <c r="Q68" s="22" t="n">
        <v>5000000</v>
      </c>
      <c r="R68" s="22" t="n">
        <v>7583290.03</v>
      </c>
      <c r="S68" s="23" t="inlineStr">
        <is>
          <t>Not income-tested</t>
        </is>
      </c>
      <c r="T68" s="23" t="inlineStr">
        <is>
          <t>Other statutes &amp; appropriations</t>
        </is>
      </c>
      <c r="U68" s="23" t="inlineStr">
        <is>
          <t>—</t>
        </is>
      </c>
      <c r="V68" s="23" t="inlineStr">
        <is>
          <t>N/A</t>
        </is>
      </c>
      <c r="W68" s="23" t="inlineStr">
        <is>
          <t>N/A</t>
        </is>
      </c>
      <c r="X68" s="23" t="inlineStr">
        <is>
          <t>Not applicable</t>
        </is>
      </c>
      <c r="Y68" s="23" t="inlineStr">
        <is>
          <t>Not applicable</t>
        </is>
      </c>
      <c r="Z68" s="23">
        <f>IF(X68="","",IF(X68="Excluded","Consistent",IF(X68="Counted","Inconsistent",IF(X68="Varies (grantee/agency choice)","Partly inconsistent",IF(X68="Not applicable","Not applicable","Needs check")))))</f>
        <v/>
      </c>
      <c r="AA68" s="23" t="inlineStr">
        <is>
          <t>No household income eligibility test: research funding.</t>
        </is>
      </c>
      <c r="AB68" s="23" t="inlineStr">
        <is>
          <t>Not a means-tested household benefit.</t>
        </is>
      </c>
      <c r="AC68" s="23" t="n"/>
      <c r="AD68" s="23" t="inlineStr">
        <is>
          <t>Not verified — low risk (not income-tested)</t>
        </is>
      </c>
    </row>
    <row r="69" ht="229.5" customHeight="1">
      <c r="A69" s="18" t="n">
        <v>85</v>
      </c>
      <c r="B69" s="19" t="inlineStr">
        <is>
          <t>Policy Development and Research Initiatives</t>
        </is>
      </c>
      <c r="C69" s="20" t="inlineStr">
        <is>
          <t>Research, Evaluation, and Demonstrations</t>
        </is>
      </c>
      <c r="D69" s="19" t="inlineStr">
        <is>
          <t>Policy Development and Research (PD&amp;R)</t>
        </is>
      </c>
      <c r="E69" s="20" t="inlineStr">
        <is>
          <t>Assistant Secretary for Policy Development and Research</t>
        </is>
      </c>
      <c r="F69" s="19" t="inlineStr">
        <is>
          <t>Supports the Department's efforts to help create cohesive, economically healthy communities by providing reliable and objective data and analysis.</t>
        </is>
      </c>
      <c r="G69" s="19" t="inlineStr">
        <is>
          <t>Title V of the Housing and Urban Development Act of 1970 (12 U.S.C. 1701z-1, et seq.).</t>
        </is>
      </c>
      <c r="H69" s="19" t="n"/>
      <c r="I69" s="21" t="inlineStr">
        <is>
          <t>https://www.huduser.gov/portal/about/pdrabout.html</t>
        </is>
      </c>
      <c r="J69" s="20" t="inlineStr">
        <is>
          <t>14.536</t>
        </is>
      </c>
      <c r="K69" s="20" t="n"/>
      <c r="L69" s="20" t="inlineStr">
        <is>
          <t>This is a Notice of Funding Availability (NOFA) from the Department of Housing and Urban Development’s (HUD) for Research and Evaluation, Demonstrations.  Through this NOFA, HUD plans to solicit applications for cooperative agreements to engage in research, evaluations, demonstrations activities.  Funding will be available under three different categories or “functions”:
Research and Evaluation;  
Demonstrations</t>
        </is>
      </c>
      <c r="M69" s="20" t="inlineStr">
        <is>
          <t>Project Grants</t>
        </is>
      </c>
      <c r="N69" s="20" t="inlineStr">
        <is>
          <t>Education Professional,Federal,Interstate,Local,Other private institution/organization,Other public institution/organization,Private nonprofit institution/organization,Profit organization,Public nonprofit institution/organization,Scientist/Researchers,Sponsored organization,State</t>
        </is>
      </c>
      <c r="O69" s="20" t="inlineStr">
        <is>
          <t>Federal,Government - General,Local (includes State-designated lndian Tribes, excludes institutions of higher education and hospitals,Private nonprofit institution/organization (includes institutions of higher education and hospitals),Profit organization,Public nonprofit institution/organization (includes institutions of higher education and hospitals),Small business (less than 500 employees),Sponsored organization,State (includes District of Columbia, public institutions of higher education and hospitals)</t>
        </is>
      </c>
      <c r="P69" s="22" t="n">
        <v>0</v>
      </c>
      <c r="Q69" s="22" t="n">
        <v>3994529.02</v>
      </c>
      <c r="R69" s="22" t="n">
        <v>14854336.57</v>
      </c>
      <c r="S69" s="23" t="inlineStr">
        <is>
          <t>Not income-tested</t>
        </is>
      </c>
      <c r="T69" s="23" t="inlineStr">
        <is>
          <t>Other statutes &amp; appropriations</t>
        </is>
      </c>
      <c r="U69" s="23" t="inlineStr">
        <is>
          <t>—</t>
        </is>
      </c>
      <c r="V69" s="23" t="inlineStr">
        <is>
          <t>N/A</t>
        </is>
      </c>
      <c r="W69" s="23" t="inlineStr">
        <is>
          <t>N/A</t>
        </is>
      </c>
      <c r="X69" s="23" t="inlineStr">
        <is>
          <t>Not applicable</t>
        </is>
      </c>
      <c r="Y69" s="23" t="inlineStr">
        <is>
          <t>Not applicable</t>
        </is>
      </c>
      <c r="Z69" s="23">
        <f>IF(X69="","",IF(X69="Excluded","Consistent",IF(X69="Counted","Inconsistent",IF(X69="Varies (grantee/agency choice)","Partly inconsistent",IF(X69="Not applicable","Not applicable","Needs check")))))</f>
        <v/>
      </c>
      <c r="AA69" s="23" t="inlineStr">
        <is>
          <t>No household income eligibility test: research funding.</t>
        </is>
      </c>
      <c r="AB69" s="23" t="inlineStr">
        <is>
          <t>Not a means-tested household benefit.</t>
        </is>
      </c>
      <c r="AC69" s="23" t="n"/>
      <c r="AD69" s="23" t="inlineStr">
        <is>
          <t>Not verified — low risk (not income-tested)</t>
        </is>
      </c>
    </row>
    <row r="70" ht="229.5" customHeight="1">
      <c r="A70" s="18" t="n">
        <v>86</v>
      </c>
      <c r="B70" s="19" t="inlineStr">
        <is>
          <t>Community Compass Technical Assistance and Capacity Building Program</t>
        </is>
      </c>
      <c r="C70" s="20" t="inlineStr">
        <is>
          <t>Community Compass Technical Assistance and Capacity Building</t>
        </is>
      </c>
      <c r="D70" s="19" t="inlineStr">
        <is>
          <t>Policy Development and Research (PD&amp;R)</t>
        </is>
      </c>
      <c r="E70" s="20" t="inlineStr">
        <is>
          <t>Assistant Secretary for Policy Development and Research</t>
        </is>
      </c>
      <c r="F70" s="19" t="inlineStr">
        <is>
          <t>Awards funding to technical assistance providers to help HUD’s customers implement HUD programs and policies. Nature of program: This initiative competitively awards technical assistance funding from across HUD program offices to organizations to provide technical assistance and capacity building for HUD grantees and other customers. Eligible activities for Community Compass include the following: (1) needs assessments; (2) direct technical assistance and capacity-building engagements; (3) development of products and tools; (4) self-directed and group learning (training); (5) knowledge management; (6) data reporting, analysis, and performance management; (7) Native American Housing Assistance and Self-Determination Act (NAHASDA) allocation formula administration and negotiated rulemaking support; (8) coordination; and (9) administration.</t>
        </is>
      </c>
      <c r="G70" s="19" t="inlineStr">
        <is>
          <t>Section 6(j)(3) of the United States Housing Act of 1937 (42 U.S.C. 1437d(j)(3)); sections 405 and 491 of the McKinney-Vento Homeless Assistance Act (42 U.S.C. 11361b and 11408) and Public Law 117-43 for CDBG-DR. Community Compass is further authorized and funded through annual and supplemental appropriations, most recently through the Consolidated Appropriations Act, 2024 (Public Law 118-42, approved March 9, 2024).</t>
        </is>
      </c>
      <c r="H70" s="19" t="n"/>
      <c r="I70" s="21" t="inlineStr">
        <is>
          <t>https://www.huduser.gov/portal/ota/community-compass.html</t>
        </is>
      </c>
      <c r="J70" s="20" t="inlineStr">
        <is>
          <t>14.259</t>
        </is>
      </c>
      <c r="K70" s="20" t="inlineStr">
        <is>
          <t>Community Compass TA</t>
        </is>
      </c>
      <c r="L70" s="20" t="inlineStr">
        <is>
          <t>Community Compass brings together technical assistance funding appropriations from across HUD program offices, including the offices of Community Planning and Development, Fair Housing and Equal Opportunity, Housing, Public and Indian Housing, and Policy Development and Research. This cross-funding approach recognizes that HUD’s grantees, subgrantees, and other customers often interact with a variety of HUD programs as they deliver housing or community development services.  Community Compass allows for holistic technical assistance to address the program and policy implementation deficiencies and skill gaps of grantees and subgrantees across multiple HUD programs, often within the same engagement.</t>
        </is>
      </c>
      <c r="M70" s="20" t="inlineStr">
        <is>
          <t>Project Grants</t>
        </is>
      </c>
      <c r="N70" s="20" t="inlineStr">
        <is>
          <t>Federally Recognized Indian Tribal Governments,Local,Public nonprofit institution/organization,Sponsored organization,State,U.S. Territories</t>
        </is>
      </c>
      <c r="O70" s="20" t="inlineStr">
        <is>
          <t>Federally Recognized lndian Tribal Governments,Native American Organizations (includes lndian groups, cooperatives, corporations, partnerships, associations),Other private institutions/organizations,Private nonprofit institution/organization (includes institutions of higher education and hospitals),Profit organization,Public nonprofit institution/organization (includes institutions of higher education and hospitals),Small business (less than 500 employees),State,State (includes District of Columbia, public institutions of higher education and hospitals)</t>
        </is>
      </c>
      <c r="P70" s="22" t="n">
        <v>0</v>
      </c>
      <c r="Q70" s="22" t="n">
        <v>-1060000</v>
      </c>
      <c r="R70" s="22" t="n">
        <v>152773550.14</v>
      </c>
      <c r="S70" s="23" t="inlineStr">
        <is>
          <t>Not income-tested</t>
        </is>
      </c>
      <c r="T70" s="23" t="inlineStr">
        <is>
          <t>Other statutes &amp; appropriations</t>
        </is>
      </c>
      <c r="U70" s="23" t="inlineStr">
        <is>
          <t>—</t>
        </is>
      </c>
      <c r="V70" s="23" t="inlineStr">
        <is>
          <t>N/A</t>
        </is>
      </c>
      <c r="W70" s="23" t="inlineStr">
        <is>
          <t>N/A</t>
        </is>
      </c>
      <c r="X70" s="23" t="inlineStr">
        <is>
          <t>Not applicable</t>
        </is>
      </c>
      <c r="Y70" s="23" t="inlineStr">
        <is>
          <t>Not applicable</t>
        </is>
      </c>
      <c r="Z70" s="23">
        <f>IF(X70="","",IF(X70="Excluded","Consistent",IF(X70="Counted","Inconsistent",IF(X70="Varies (grantee/agency choice)","Partly inconsistent",IF(X70="Not applicable","Not applicable","Needs check")))))</f>
        <v/>
      </c>
      <c r="AA70" s="23" t="inlineStr">
        <is>
          <t>No household income eligibility test: technical assistance to grantees.</t>
        </is>
      </c>
      <c r="AB70" s="23" t="inlineStr">
        <is>
          <t>Not a means-tested household benefit.</t>
        </is>
      </c>
      <c r="AC70" s="23" t="n"/>
      <c r="AD70" s="23" t="inlineStr">
        <is>
          <t>Not verified — low risk (not income-tested)</t>
        </is>
      </c>
    </row>
    <row r="71" ht="229.5" customHeight="1">
      <c r="A71" s="18" t="n">
        <v>89</v>
      </c>
      <c r="B71" s="19" t="inlineStr">
        <is>
          <t>Eviction Protection Grant Program (EPGP)</t>
        </is>
      </c>
      <c r="C71" s="20" t="inlineStr">
        <is>
          <t>Eviction Protection Grant Program</t>
        </is>
      </c>
      <c r="D71" s="19" t="inlineStr">
        <is>
          <t>Policy Development and Research (PD&amp;R)</t>
        </is>
      </c>
      <c r="E71" s="20" t="inlineStr">
        <is>
          <t>Assistant Secretary for Policy Development and Research</t>
        </is>
      </c>
      <c r="F71" s="19" t="inlineStr">
        <is>
          <t>Aims to help fill the gap in access to legal assistance experienced by individuals and families facing eviction to help them reach more mutually beneficial resolutions with landlords or defend against illegal evictions.</t>
        </is>
      </c>
      <c r="G71" s="19" t="inlineStr">
        <is>
          <t>Authorized by annual Appropriations Acts, most recently by the Consolidated Appropriations Act, 2024 (Public Law 118-42, approved March 9, 2024).</t>
        </is>
      </c>
      <c r="H71" s="19" t="n"/>
      <c r="I71" s="21" t="inlineStr">
        <is>
          <t>https://www.huduser.gov/portal/eviction-protection-grant.html</t>
        </is>
      </c>
      <c r="J71" s="20" t="inlineStr">
        <is>
          <t>14.537</t>
        </is>
      </c>
      <c r="K71" s="20" t="n"/>
      <c r="L71" s="20" t="inlineStr">
        <is>
          <t>The overall purpose of the Eviction Protection Grant Program is to support experienced legal service providers, not limited to legal service corporations, in providing legal assistance at no cost to low-income tenants at risk of or subject to eviction. This grant program plays an integral role in helping individuals and families, including people of color who are disproportionately represented among those evicted, people with limited English proficiency and people with disabilities, avoid eviction or minimize the disruption and damage caused by the eviction process.</t>
        </is>
      </c>
      <c r="M71" s="20" t="inlineStr">
        <is>
          <t>Project Grants</t>
        </is>
      </c>
      <c r="N71" s="20" t="n"/>
      <c r="O71" s="20" t="inlineStr">
        <is>
          <t>Federally Recognized lndian Tribal Governments,Government - General,Local (includes State-designated lndian Tribes, excludes institutions of higher education and hospitals,Other public institution/organization,Public nonprofit institution/organization (includes institutions of higher education and hospitals),Sponsored organization,State,State (includes District of Columbia, public institutions of higher education and hospitals)</t>
        </is>
      </c>
      <c r="P71" s="22" t="n">
        <v>0</v>
      </c>
      <c r="Q71" s="22" t="n">
        <v>0</v>
      </c>
      <c r="R71" s="22" t="n">
        <v>0</v>
      </c>
      <c r="S71" s="23" t="inlineStr">
        <is>
          <t>Household income test</t>
        </is>
      </c>
      <c r="T71" s="23" t="inlineStr">
        <is>
          <t>Other statutes &amp; appropriations</t>
        </is>
      </c>
      <c r="U71" s="23" t="inlineStr">
        <is>
          <t>Annual appropriations acts (e.g., PL 118-42); NOFO</t>
        </is>
      </c>
      <c r="V71" s="23" t="inlineStr">
        <is>
          <t>Not set by regulation; defined in the NOFO</t>
        </is>
      </c>
      <c r="W71" s="23" t="inlineStr">
        <is>
          <t>N/A</t>
        </is>
      </c>
      <c r="X71" s="23" t="inlineStr">
        <is>
          <t>Unclear / needs check</t>
        </is>
      </c>
      <c r="Y71" s="23" t="inlineStr">
        <is>
          <t>Not applicable</t>
        </is>
      </c>
      <c r="Z71" s="23">
        <f>IF(X71="","",IF(X71="Excluded","Consistent",IF(X71="Counted","Inconsistent",IF(X71="Varies (grantee/agency choice)","Partly inconsistent",IF(X71="Not applicable","Not applicable","Needs check")))))</f>
        <v/>
      </c>
      <c r="AA71" s="23" t="inlineStr">
        <is>
          <t>Legal assistance must go to low-income tenants; the income definition used was not found.</t>
        </is>
      </c>
      <c r="AB71" s="23" t="inlineStr">
        <is>
          <t>Appropriations-based grant; income targeting defined in the NOFO.</t>
        </is>
      </c>
      <c r="AC71" s="23" t="inlineStr">
        <is>
          <t>Check the EPGP NOFO for the income definition.</t>
        </is>
      </c>
      <c r="AD71" s="23" t="inlineStr">
        <is>
          <t>Not verified — needs check</t>
        </is>
      </c>
    </row>
    <row r="72" ht="219.75" customHeight="1">
      <c r="A72" s="18" t="n">
        <v>95</v>
      </c>
      <c r="B72" s="19" t="inlineStr">
        <is>
          <t>Lead Hazard Control and Healthy Homes Program</t>
        </is>
      </c>
      <c r="C72" s="20" t="inlineStr">
        <is>
          <t>Lead-Based Paint Capital Fund Program</t>
        </is>
      </c>
      <c r="D72" s="19" t="inlineStr">
        <is>
          <t>Lead Hazard Control and Healthy Homes Program</t>
        </is>
      </c>
      <c r="E72" s="20" t="inlineStr">
        <is>
          <t>Assistant Secretary for Public and Indian Housing</t>
        </is>
      </c>
      <c r="F72" s="19" t="inlineStr">
        <is>
          <t>address housing-related health and safety hazards; demonstration projects and research, outreach and education related to lead hazard control and healthy homes issues; enforcement of the Lead Safe Housing Rule and the Lead Disclosure Rule.</t>
        </is>
      </c>
      <c r="G72" s="19" t="inlineStr">
        <is>
          <t> Lead-Based Paint Poisoning Prevention Act (42 U.S.C. 4821, et seq.);  Residential Lead-Based Paint Hazard Reduction Act of 1992 (Title X of the Housing and Community Development Act of 1992; 42 U.S.C. 4851, et seq.);  Sections 501 and 502 of the Housing and Urban Development Act of 1970 (12 U.S.C. 1701z-1 and 1701z-2).</t>
        </is>
      </c>
      <c r="H72" s="19" t="inlineStr">
        <is>
          <t>Regulations are at 24 CFR part 35.</t>
        </is>
      </c>
      <c r="I72" s="21" t="inlineStr">
        <is>
          <t>https://www.hud.gov/program_offices/healthy_homes</t>
        </is>
      </c>
      <c r="J72" s="20" t="inlineStr">
        <is>
          <t>14.888</t>
        </is>
      </c>
      <c r="K72" s="20" t="inlineStr">
        <is>
          <t>Lead-based Paint (LBP) and Other Housing-Related Hazards (HRH) Combined NOFO</t>
        </is>
      </c>
      <c r="L72" s="20" t="inlineStr">
        <is>
          <t>The Lead-Based Paint and Housing-Related Hazards are for Public Housing Authorities (PHAs) to evaluate and reduce lead-based paint and other housing-related hazards including carbon monoxide and mold in public housing, and for other costs associated with public housing asset improvement. The Lead-Based Paint Capital Fund Program provides competitive grants to PHAs to evaluate and reduce lead-based paint hazards in public housing by carrying out the activities of risk assessments, abatement, and interim controls (as those terms are defined in section 1004 of the Residential Lead-Based Paint Hazard Reduction Act of 1992 (42 U.S.C. 4851b)). The Housing-Related Hazards Capital Fund Program provides funds for PHAs to prevent and correct significant housing-related health and safety hazards such as mold and carbon monoxide in public housing.</t>
        </is>
      </c>
      <c r="M72" s="20" t="inlineStr">
        <is>
          <t>Project Grants</t>
        </is>
      </c>
      <c r="N72" s="20" t="inlineStr">
        <is>
          <t>Individual/Family,Low Income</t>
        </is>
      </c>
      <c r="O72" s="20" t="inlineStr">
        <is>
          <t>Other public institution/organization</t>
        </is>
      </c>
      <c r="P72" s="22" t="n">
        <v>0</v>
      </c>
      <c r="Q72" s="22" t="n">
        <v>45634890</v>
      </c>
      <c r="R72" s="22" t="n">
        <v>34752420</v>
      </c>
      <c r="S72" s="23" t="inlineStr">
        <is>
          <t>Via underlying program</t>
        </is>
      </c>
      <c r="T72" s="23" t="inlineStr">
        <is>
          <t>U.S. Housing Act of 1937 (public housing &amp; Section 8)</t>
        </is>
      </c>
      <c r="U72" s="23" t="inlineStr">
        <is>
          <t>Eligibility inherited from public housing (Part 5)</t>
        </is>
      </c>
      <c r="V72" s="23" t="inlineStr">
        <is>
          <t>N/A (no separate income determination)</t>
        </is>
      </c>
      <c r="W72" s="23" t="inlineStr">
        <is>
          <t>N/A</t>
        </is>
      </c>
      <c r="X72" s="23" t="inlineStr">
        <is>
          <t>Not applicable</t>
        </is>
      </c>
      <c r="Y72" s="23" t="inlineStr">
        <is>
          <t>Not applicable</t>
        </is>
      </c>
      <c r="Z72" s="23">
        <f>IF(X72="","",IF(X72="Excluded","Consistent",IF(X72="Counted","Inconsistent",IF(X72="Varies (grantee/agency choice)","Partly inconsistent",IF(X72="Not applicable","Not applicable","Needs check")))))</f>
        <v/>
      </c>
      <c r="AA72" s="23" t="inlineStr">
        <is>
          <t>No separate household income determination; participants are already income-qualified under public housing (Part 5), where VA compensation is treated as shown on that program's row.</t>
        </is>
      </c>
      <c r="AB72" s="23" t="inlineStr">
        <is>
          <t>Program funds services, capital, or operations for households assisted under another program.</t>
        </is>
      </c>
      <c r="AC72" s="23" t="inlineStr">
        <is>
          <t>Capital funds for lead-based paint remediation in public housing.</t>
        </is>
      </c>
      <c r="AD72" s="23" t="inlineStr">
        <is>
          <t>Not verified — low risk (not income-tested)</t>
        </is>
      </c>
    </row>
    <row r="73" ht="229.5" customHeight="1">
      <c r="A73" s="18" t="n">
        <v>95</v>
      </c>
      <c r="B73" s="19" t="inlineStr">
        <is>
          <t>Lead Hazard Control and Healthy Homes Program</t>
        </is>
      </c>
      <c r="C73" s="20" t="inlineStr">
        <is>
          <t>Lead Hazard Reduction Grant Program</t>
        </is>
      </c>
      <c r="D73" s="19" t="inlineStr">
        <is>
          <t>Lead Hazard Control and Healthy Homes Program</t>
        </is>
      </c>
      <c r="E73" s="20" t="inlineStr">
        <is>
          <t>Office of Lead Hazard Control and Healthy Homes</t>
        </is>
      </c>
      <c r="F73" s="19" t="inlineStr">
        <is>
          <t>address housing-related health and safety hazards; demonstration projects and research, outreach and education related to lead hazard control and healthy homes issues; enforcement of the Lead Safe Housing Rule and the Lead Disclosure Rule.</t>
        </is>
      </c>
      <c r="G73" s="19" t="inlineStr">
        <is>
          <t> Lead-Based Paint Poisoning Prevention Act (42 U.S.C. 4821, et seq.);  Residential Lead-Based Paint Hazard Reduction Act of 1992 (Title X of the Housing and Community Development Act of 1992; 42 U.S.C. 4851, et seq.);  Sections 501 and 502 of the Housing and Urban Development Act of 1970 (12 U.S.C. 1701z-1 and 1701z-2).</t>
        </is>
      </c>
      <c r="H73" s="19" t="inlineStr">
        <is>
          <t>Regulations are at 24 CFR part 35.</t>
        </is>
      </c>
      <c r="I73" s="21" t="inlineStr">
        <is>
          <t>https://www.hud.gov/program_offices/healthy_homes</t>
        </is>
      </c>
      <c r="J73" s="20" t="inlineStr">
        <is>
          <t>14.900</t>
        </is>
      </c>
      <c r="K73" s="20" t="inlineStr">
        <is>
          <t>Lead Hazard Reduction Grant Program</t>
        </is>
      </c>
      <c r="L73" s="20" t="inlineStr">
        <is>
          <t>Lead-Based Paint Hazard Control grants assist State, Tribal, and local governments to identify and control lead-based paint hazards in privately-owned housing that is owned by or rented to low- or very-low income families.  Specific objectives include:  (1) Maximize the combination of children less than six years of age protected from lead poisoning and housing units where lead-hazards are controlled; (2) Prevent childhood lead poisoning; (3) Stimulate lower-cost and cost-effective methods and approaches to lead hazard control work that can be replicated; (4) Build local capacity to safely and effectively address lead hazards during lead hazard control, renovation, remodeling, and maintenance activities by integrating lead safe work practices into housing maintenance, repair, weatherization, rehabilitation and other programs that will continue beyond the grant period; (5) Affirmatively further fair housing and environmental justice (6) Develop a comprehensive community approach to address lead hazards in housing by mobilizing public and private resources, involving cooperation among all levels of government, the private sector, and grassroots community-based nonprofit organizations, including faith-based organizations, to develop cost-effective methods for identifying and controlling lead-based paint hazards (7) Establish a public registry of lead-safe housing; and (8)To the greatest extent feasible, promote job training, employment, and other economic opportunities for low-income and minority residents and businesses that are owned by and/or employ minorities and low-income persons as defined in 24 CFR section 75.5.</t>
        </is>
      </c>
      <c r="M73" s="20" t="inlineStr">
        <is>
          <t>Project Grants</t>
        </is>
      </c>
      <c r="N73" s="20" t="inlineStr">
        <is>
          <t>Anyone/general public,Federal,Individual/Family,Local,State</t>
        </is>
      </c>
      <c r="O73" s="20" t="inlineStr">
        <is>
          <t>Federally Recognized lndian Tribal Governments,Local (includes State-designated lndian Tribes, excludes institutions of higher education and hospitals,State (includes District of Columbia, public institutions of higher education and hospitals)</t>
        </is>
      </c>
      <c r="P73" s="22" t="n">
        <v>0</v>
      </c>
      <c r="Q73" s="22" t="n">
        <v>176738888.22</v>
      </c>
      <c r="R73" s="22" t="n">
        <v>185800027.99</v>
      </c>
      <c r="S73" s="23" t="inlineStr">
        <is>
          <t>Household income test</t>
        </is>
      </c>
      <c r="T73" s="23" t="inlineStr">
        <is>
          <t>Other statutes &amp; appropriations</t>
        </is>
      </c>
      <c r="U73" s="23" t="inlineStr">
        <is>
          <t>Residential Lead-Based Paint Hazard Reduction Act of 1992 (42 U.S.C. 4852) and annual appropriations; NOFO</t>
        </is>
      </c>
      <c r="V73" s="23" t="inlineStr">
        <is>
          <t>Not set by regulation; defined in the NOFO</t>
        </is>
      </c>
      <c r="W73" s="23" t="inlineStr">
        <is>
          <t>N/A</t>
        </is>
      </c>
      <c r="X73" s="23" t="inlineStr">
        <is>
          <t>Unclear / needs check</t>
        </is>
      </c>
      <c r="Y73" s="23" t="inlineStr">
        <is>
          <t>Not applicable</t>
        </is>
      </c>
      <c r="Z73" s="23">
        <f>IF(X73="","",IF(X73="Excluded","Consistent",IF(X73="Counted","Inconsistent",IF(X73="Varies (grantee/agency choice)","Partly inconsistent",IF(X73="Not applicable","Not applicable","Needs check")))))</f>
        <v/>
      </c>
      <c r="AA73" s="23" t="inlineStr">
        <is>
          <t>Assisted units must generally be occupied by low-income households (≤80% AMI), but the income definition is set in each NOFO, not checked here.</t>
        </is>
      </c>
      <c r="AB73" s="23" t="inlineStr">
        <is>
          <t>Grant program for hazard remediation; income targeting comes from the authorizing statute/appropriations.</t>
        </is>
      </c>
      <c r="AC73" s="23" t="inlineStr">
        <is>
          <t>Check the current NOFO's income-determination section.</t>
        </is>
      </c>
      <c r="AD73" s="23" t="inlineStr">
        <is>
          <t>Not verified — needs check</t>
        </is>
      </c>
    </row>
    <row r="74" ht="229.5" customHeight="1">
      <c r="A74" s="18" t="n">
        <v>95</v>
      </c>
      <c r="B74" s="19" t="inlineStr">
        <is>
          <t>Lead Hazard Control and Healthy Homes Program</t>
        </is>
      </c>
      <c r="C74" s="20" t="inlineStr">
        <is>
          <t>Healthy Homes Weatherization Cooperation Demonstration Grants</t>
        </is>
      </c>
      <c r="D74" s="19" t="inlineStr">
        <is>
          <t>Lead Hazard Control and Healthy Homes Program</t>
        </is>
      </c>
      <c r="E74" s="20" t="inlineStr">
        <is>
          <t>Office of Lead Hazard Control and Healthy Homes</t>
        </is>
      </c>
      <c r="F74" s="19" t="inlineStr">
        <is>
          <t>address housing-related health and safety hazards; demonstration projects and research, outreach and education related to lead hazard control and healthy homes issues; enforcement of the Lead Safe Housing Rule and the Lead Disclosure Rule.</t>
        </is>
      </c>
      <c r="G74" s="19" t="inlineStr">
        <is>
          <t> Lead-Based Paint Poisoning Prevention Act (42 U.S.C. 4821, et seq.);  Residential Lead-Based Paint Hazard Reduction Act of 1992 (Title X of the Housing and Community Development Act of 1992; 42 U.S.C. 4851, et seq.);  Sections 501 and 502 of the Housing and Urban Development Act of 1970 (12 U.S.C. 1701z-1 and 1701z-2).</t>
        </is>
      </c>
      <c r="H74" s="19" t="inlineStr">
        <is>
          <t>Regulations are at 24 CFR part 35.</t>
        </is>
      </c>
      <c r="I74" s="21" t="inlineStr">
        <is>
          <t>https://www.hud.gov/program_offices/healthy_homes</t>
        </is>
      </c>
      <c r="J74" s="20" t="inlineStr">
        <is>
          <t>14.901</t>
        </is>
      </c>
      <c r="K74" s="20" t="inlineStr">
        <is>
          <t>Healthy Homes and Weatherization Cooperation Demonstration Grants, Radon Testing and Mitigation Demonstration in Public Housing Grants</t>
        </is>
      </c>
      <c r="L74" s="20" t="inlineStr">
        <is>
          <t>HUD, through this Healthy Homes and Weatherization Cooperation Demonstration (HHWCD) NOFO, is interested in supporting demonstrations in up to 5 communities that provide housing interventions in lower-income households that are conducted jointly through the coordination of HUD’s Office of Lead Hazard Control and Healthy Homes (OLHCHH)-funded
 Healthy Homes Production (HHP) program and programs funded by the U.S. Department of Energy's (DOE) Weatherization Assistance Program (WAP).  A critical goal of this demonstration is to determine whether this coordinated delivery of services achieves cost-effectiveness and better outcomes in improving the safety and quality of homes, including health and energy efficiency.  The coordinated assessments and interventions are expected to provide additional benefits to households through the combined mitigation of health and safety hazards and improvements in energy efficiency and comfort.  These grants are intended to facilitate the leveraging of ass</t>
        </is>
      </c>
      <c r="M74" s="20" t="inlineStr">
        <is>
          <t>Project Grants</t>
        </is>
      </c>
      <c r="N74" s="20" t="inlineStr">
        <is>
          <t>Anyone/general public,Federally Recognized Indian Tribal Governments,Homeowner,Land/Property Owner,Local,Minority group,Public nonprofit institution/organization,State,U.S. Territories</t>
        </is>
      </c>
      <c r="O74" s="20" t="inlineStr">
        <is>
          <t>Federally Recognized lndian Tribal Governments,Government - General,Non-Government - General,State,U.S. Territories and possessions</t>
        </is>
      </c>
      <c r="P74" s="22" t="n">
        <v>0</v>
      </c>
      <c r="Q74" s="22" t="n">
        <v>6187462.16</v>
      </c>
      <c r="R74" s="22" t="n">
        <v>4953526</v>
      </c>
      <c r="S74" s="23" t="inlineStr">
        <is>
          <t>Household income test</t>
        </is>
      </c>
      <c r="T74" s="23" t="inlineStr">
        <is>
          <t>Other statutes &amp; appropriations</t>
        </is>
      </c>
      <c r="U74" s="23" t="inlineStr">
        <is>
          <t>Residential Lead-Based Paint Hazard Reduction Act of 1992 (42 U.S.C. 4852) and annual appropriations; NOFO</t>
        </is>
      </c>
      <c r="V74" s="23" t="inlineStr">
        <is>
          <t>Not set by regulation; defined in the NOFO</t>
        </is>
      </c>
      <c r="W74" s="23" t="inlineStr">
        <is>
          <t>N/A</t>
        </is>
      </c>
      <c r="X74" s="23" t="inlineStr">
        <is>
          <t>Unclear / needs check</t>
        </is>
      </c>
      <c r="Y74" s="23" t="inlineStr">
        <is>
          <t>Not applicable</t>
        </is>
      </c>
      <c r="Z74" s="23">
        <f>IF(X74="","",IF(X74="Excluded","Consistent",IF(X74="Counted","Inconsistent",IF(X74="Varies (grantee/agency choice)","Partly inconsistent",IF(X74="Not applicable","Not applicable","Needs check")))))</f>
        <v/>
      </c>
      <c r="AA74" s="23" t="inlineStr">
        <is>
          <t>Assisted units must generally be occupied by low-income households (≤80% AMI), but the income definition is set in each NOFO, not checked here.</t>
        </is>
      </c>
      <c r="AB74" s="23" t="inlineStr">
        <is>
          <t>Grant program for hazard remediation; income targeting comes from the authorizing statute/appropriations.</t>
        </is>
      </c>
      <c r="AC74" s="23" t="inlineStr">
        <is>
          <t>Check the current NOFO's income-determination section. Weatherization-cooperation demo; income rules may align with DOE Weatherization Assistance Program.</t>
        </is>
      </c>
      <c r="AD74" s="23" t="inlineStr">
        <is>
          <t>Not verified — needs check</t>
        </is>
      </c>
    </row>
    <row r="75" ht="206.25" customHeight="1">
      <c r="A75" s="18" t="n">
        <v>95</v>
      </c>
      <c r="B75" s="19" t="inlineStr">
        <is>
          <t>Lead Hazard Control and Healthy Homes Program</t>
        </is>
      </c>
      <c r="C75" s="20" t="inlineStr">
        <is>
          <t>Lead Technical Studies Grants</t>
        </is>
      </c>
      <c r="D75" s="19" t="inlineStr">
        <is>
          <t>Lead Hazard Control and Healthy Homes Program</t>
        </is>
      </c>
      <c r="E75" s="20" t="inlineStr">
        <is>
          <t>Office of Lead Hazard Control and Healthy Homes</t>
        </is>
      </c>
      <c r="F75" s="19" t="inlineStr">
        <is>
          <t>address housing-related health and safety hazards; demonstration projects and research, outreach and education related to lead hazard control and healthy homes issues; enforcement of the Lead Safe Housing Rule and the Lead Disclosure Rule.</t>
        </is>
      </c>
      <c r="G75" s="19" t="inlineStr">
        <is>
          <t> Lead-Based Paint Poisoning Prevention Act (42 U.S.C. 4821, et seq.);  Residential Lead-Based Paint Hazard Reduction Act of 1992 (Title X of the Housing and Community Development Act of 1992; 42 U.S.C. 4851, et seq.);  Sections 501 and 502 of the Housing and Urban Development Act of 1970 (12 U.S.C. 1701z-1 and 1701z-2).</t>
        </is>
      </c>
      <c r="H75" s="19" t="inlineStr">
        <is>
          <t>Regulations are at 24 CFR part 35.</t>
        </is>
      </c>
      <c r="I75" s="21" t="inlineStr">
        <is>
          <t>https://www.hud.gov/program_offices/healthy_homes</t>
        </is>
      </c>
      <c r="J75" s="20" t="inlineStr">
        <is>
          <t>14.902</t>
        </is>
      </c>
      <c r="K75" s="20" t="inlineStr">
        <is>
          <t>Lead Technical Studies Grants</t>
        </is>
      </c>
      <c r="L75" s="20" t="inlineStr">
        <is>
          <t>To fund technical studies to improve methods for detecting and controlling lead-based paint hazards in housing. The purpose of the Lead Technical Studies program is to improve our knowledge of lead-based paint related health hazards, and to improve or develop new hazard assessment and control methods.</t>
        </is>
      </c>
      <c r="M75" s="20" t="inlineStr">
        <is>
          <t>Project Grants</t>
        </is>
      </c>
      <c r="N75" s="20" t="inlineStr">
        <is>
          <t>Homeowner,Land/Property Owner</t>
        </is>
      </c>
      <c r="O75" s="20" t="inlineStr">
        <is>
          <t>Federally Recognized lndian Tribal Governments,Local (includes State-designated lndian Tribes, excludes institutions of higher education and hospitals,Public nonprofit institution/organization (includes institutions of higher education and hospitals),State (includes District of Columbia, public institutions of higher education and hospitals)</t>
        </is>
      </c>
      <c r="P75" s="22" t="n">
        <v>0</v>
      </c>
      <c r="Q75" s="22" t="n">
        <v>5553572.87</v>
      </c>
      <c r="R75" s="22" t="n">
        <v>-12171.74</v>
      </c>
      <c r="S75" s="23" t="inlineStr">
        <is>
          <t>Not income-tested</t>
        </is>
      </c>
      <c r="T75" s="23" t="inlineStr">
        <is>
          <t>Other statutes &amp; appropriations</t>
        </is>
      </c>
      <c r="U75" s="23" t="inlineStr">
        <is>
          <t>—</t>
        </is>
      </c>
      <c r="V75" s="23" t="inlineStr">
        <is>
          <t>N/A</t>
        </is>
      </c>
      <c r="W75" s="23" t="inlineStr">
        <is>
          <t>N/A</t>
        </is>
      </c>
      <c r="X75" s="23" t="inlineStr">
        <is>
          <t>Not applicable</t>
        </is>
      </c>
      <c r="Y75" s="23" t="inlineStr">
        <is>
          <t>Not applicable</t>
        </is>
      </c>
      <c r="Z75" s="23">
        <f>IF(X75="","",IF(X75="Excluded","Consistent",IF(X75="Counted","Inconsistent",IF(X75="Varies (grantee/agency choice)","Partly inconsistent",IF(X75="Not applicable","Not applicable","Needs check")))))</f>
        <v/>
      </c>
      <c r="AA75" s="23" t="inlineStr">
        <is>
          <t>No household income eligibility test: research grants.</t>
        </is>
      </c>
      <c r="AB75" s="23" t="inlineStr">
        <is>
          <t>Not a means-tested household benefit.</t>
        </is>
      </c>
      <c r="AC75" s="23" t="n"/>
      <c r="AD75" s="23" t="inlineStr">
        <is>
          <t>Not verified — low risk (not income-tested)</t>
        </is>
      </c>
    </row>
    <row r="76" ht="229.5" customHeight="1">
      <c r="A76" s="18" t="n">
        <v>95</v>
      </c>
      <c r="B76" s="19" t="inlineStr">
        <is>
          <t>Lead Hazard Control and Healthy Homes Program</t>
        </is>
      </c>
      <c r="C76" s="20" t="inlineStr">
        <is>
          <t>Lead Hazard Reduction Demonstration Grant Program</t>
        </is>
      </c>
      <c r="D76" s="19" t="inlineStr">
        <is>
          <t>Lead Hazard Control and Healthy Homes Program</t>
        </is>
      </c>
      <c r="E76" s="20" t="inlineStr">
        <is>
          <t>Office of Lead Hazard Control and Healthy Homes</t>
        </is>
      </c>
      <c r="F76" s="19" t="inlineStr">
        <is>
          <t>address housing-related health and safety hazards; demonstration projects and research, outreach and education related to lead hazard control and healthy homes issues; enforcement of the Lead Safe Housing Rule and the Lead Disclosure Rule.</t>
        </is>
      </c>
      <c r="G76" s="19" t="inlineStr">
        <is>
          <t> Lead-Based Paint Poisoning Prevention Act (42 U.S.C. 4821, et seq.);  Residential Lead-Based Paint Hazard Reduction Act of 1992 (Title X of the Housing and Community Development Act of 1992; 42 U.S.C. 4851, et seq.);  Sections 501 and 502 of the Housing and Urban Development Act of 1970 (12 U.S.C. 1701z-1 and 1701z-2).</t>
        </is>
      </c>
      <c r="H76" s="19" t="inlineStr">
        <is>
          <t>Regulations are at 24 CFR part 35.</t>
        </is>
      </c>
      <c r="I76" s="21" t="inlineStr">
        <is>
          <t>https://www.hud.gov/program_offices/healthy_homes</t>
        </is>
      </c>
      <c r="J76" s="20" t="inlineStr">
        <is>
          <t>14.905</t>
        </is>
      </c>
      <c r="K76" s="20" t="inlineStr">
        <is>
          <t>Lead Hazard Reduction Demonstration Grant Program</t>
        </is>
      </c>
      <c r="L76" s="20" t="inlineStr">
        <is>
          <t>Lead Hazard Reduction Demonstration Grant assist State, Tribal, and local governments to identify and control lead-based paint hazards in privately-owned housing that is owned by or rented to low- or very-low income families. Specific objectives include: (1) Maximize the combination of children less than six years of age protected from lead poisoning and housing units where lead-hazards are controlled; (2) preventing childhood lead poisoning; (3) Stimulate lower-cost and cost-effective methods and approaches to lead hazard control work that can be replicated; (4)Build local capacity to safely and effectively address lead hazards during lead hazard control, renovation, remodeling, and maintenance activities by integrating lead safe work practices into housing maintenance, repair, weatherization, rehabilitation and other programs that will continue beyond the grant period; (5) Affirmatively further fair housing and environmental justice (6) Develop a comprehensive community approach to address lead hazards in housing by mobilizing public and private resources, involving cooperation among all levels of government, the private sector, and grassroots community-based nonprofit organizations, including faith-based organizations, to develop cost-effective methods for identifying and controlling lead-based paint hazards (7) establishing a public registry of lead-safe housing; and (8) To the greatest extent feasible, promote job training, employment, and other economic opportunities for low-income and minority residents and businesses that are owned by and/or employ minorities and low-income persons as defined in 24 CFR 75.5 . In addition to the requirements above, you must have at least 3,500 pre-1940 occupied rental housing units (either alone or through a consortium).</t>
        </is>
      </c>
      <c r="M76" s="20" t="inlineStr">
        <is>
          <t>Project Grants</t>
        </is>
      </c>
      <c r="N76" s="20" t="inlineStr">
        <is>
          <t>Anyone/general public,Federal,Individual/Family,Local,State</t>
        </is>
      </c>
      <c r="O76" s="20" t="inlineStr">
        <is>
          <t>Federally Recognized lndian Tribal Governments,Local (includes State-designated lndian Tribes, excludes institutions of higher education and hospitals,State (includes District of Columbia, public institutions of higher education and hospitals)</t>
        </is>
      </c>
      <c r="P76" s="22" t="n">
        <v>0</v>
      </c>
      <c r="Q76" s="22" t="n">
        <v>287248721.08</v>
      </c>
      <c r="R76" s="22" t="n">
        <v>-13764556.86</v>
      </c>
      <c r="S76" s="23" t="inlineStr">
        <is>
          <t>Household income test</t>
        </is>
      </c>
      <c r="T76" s="23" t="inlineStr">
        <is>
          <t>Other statutes &amp; appropriations</t>
        </is>
      </c>
      <c r="U76" s="23" t="inlineStr">
        <is>
          <t>Residential Lead-Based Paint Hazard Reduction Act of 1992 (42 U.S.C. 4852) and annual appropriations; NOFO</t>
        </is>
      </c>
      <c r="V76" s="23" t="inlineStr">
        <is>
          <t>Not set by regulation; defined in the NOFO</t>
        </is>
      </c>
      <c r="W76" s="23" t="inlineStr">
        <is>
          <t>N/A</t>
        </is>
      </c>
      <c r="X76" s="23" t="inlineStr">
        <is>
          <t>Unclear / needs check</t>
        </is>
      </c>
      <c r="Y76" s="23" t="inlineStr">
        <is>
          <t>Not applicable</t>
        </is>
      </c>
      <c r="Z76" s="23">
        <f>IF(X76="","",IF(X76="Excluded","Consistent",IF(X76="Counted","Inconsistent",IF(X76="Varies (grantee/agency choice)","Partly inconsistent",IF(X76="Not applicable","Not applicable","Needs check")))))</f>
        <v/>
      </c>
      <c r="AA76" s="23" t="inlineStr">
        <is>
          <t>Assisted units must generally be occupied by low-income households (≤80% AMI), but the income definition is set in each NOFO, not checked here.</t>
        </is>
      </c>
      <c r="AB76" s="23" t="inlineStr">
        <is>
          <t>Grant program for hazard remediation; income targeting comes from the authorizing statute/appropriations.</t>
        </is>
      </c>
      <c r="AC76" s="23" t="inlineStr">
        <is>
          <t>Check the current NOFO's income-determination section.</t>
        </is>
      </c>
      <c r="AD76" s="23" t="inlineStr">
        <is>
          <t>Not verified — needs check</t>
        </is>
      </c>
    </row>
    <row r="77" ht="219.75" customHeight="1">
      <c r="A77" s="18" t="n">
        <v>95</v>
      </c>
      <c r="B77" s="19" t="inlineStr">
        <is>
          <t>Lead Hazard Control and Healthy Homes Program</t>
        </is>
      </c>
      <c r="C77" s="20" t="inlineStr">
        <is>
          <t>Healthy Homes Technical Studies Grants</t>
        </is>
      </c>
      <c r="D77" s="19" t="inlineStr">
        <is>
          <t>Lead Hazard Control and Healthy Homes Program</t>
        </is>
      </c>
      <c r="E77" s="20" t="inlineStr">
        <is>
          <t>Office of Lead Hazard Control and Healthy Homes</t>
        </is>
      </c>
      <c r="F77" s="19" t="inlineStr">
        <is>
          <t>address housing-related health and safety hazards; demonstration projects and research, outreach and education related to lead hazard control and healthy homes issues; enforcement of the Lead Safe Housing Rule and the Lead Disclosure Rule.</t>
        </is>
      </c>
      <c r="G77" s="19" t="inlineStr">
        <is>
          <t> Lead-Based Paint Poisoning Prevention Act (42 U.S.C. 4821, et seq.);  Residential Lead-Based Paint Hazard Reduction Act of 1992 (Title X of the Housing and Community Development Act of 1992; 42 U.S.C. 4851, et seq.);  Sections 501 and 502 of the Housing and Urban Development Act of 1970 (12 U.S.C. 1701z-1 and 1701z-2).</t>
        </is>
      </c>
      <c r="H77" s="19" t="inlineStr">
        <is>
          <t>Regulations are at 24 CFR part 35.</t>
        </is>
      </c>
      <c r="I77" s="21" t="inlineStr">
        <is>
          <t>https://www.hud.gov/program_offices/healthy_homes</t>
        </is>
      </c>
      <c r="J77" s="20" t="inlineStr">
        <is>
          <t>14.906</t>
        </is>
      </c>
      <c r="K77" s="20" t="inlineStr">
        <is>
          <t>Healthy Homes Technical Studies Grants</t>
        </is>
      </c>
      <c r="L77" s="20" t="inlineStr">
        <is>
          <t>To fund technical studies to improve methods for detecting and controlling housing-related health and safety hazards. The purpose of the Healthy Homes Technical Studies program is to improve our knowledge of housing-related health hazards, and to improve or develop new hazard assessment and control methods.</t>
        </is>
      </c>
      <c r="M77" s="20" t="inlineStr">
        <is>
          <t>Project Grants</t>
        </is>
      </c>
      <c r="N77" s="20" t="inlineStr">
        <is>
          <t>Federal,Local,Other public institution/organization,Profit organization,Public nonprofit institution/organization,State</t>
        </is>
      </c>
      <c r="O77" s="20" t="inlineStr">
        <is>
          <t>Federally Recognized lndian Tribal Governments,Local (includes State-designated lndian Tribes, excludes institutions of higher education and hospitals,Other public institution/organization,Public nonprofit institution/organization (includes institutions of higher education and hospitals),State (includes District of Columbia, public institutions of higher education and hospitals)</t>
        </is>
      </c>
      <c r="P77" s="22" t="n">
        <v>0</v>
      </c>
      <c r="Q77" s="22" t="n">
        <v>0</v>
      </c>
      <c r="R77" s="22" t="n">
        <v>0</v>
      </c>
      <c r="S77" s="23" t="inlineStr">
        <is>
          <t>Not income-tested</t>
        </is>
      </c>
      <c r="T77" s="23" t="inlineStr">
        <is>
          <t>Other statutes &amp; appropriations</t>
        </is>
      </c>
      <c r="U77" s="23" t="inlineStr">
        <is>
          <t>—</t>
        </is>
      </c>
      <c r="V77" s="23" t="inlineStr">
        <is>
          <t>N/A</t>
        </is>
      </c>
      <c r="W77" s="23" t="inlineStr">
        <is>
          <t>N/A</t>
        </is>
      </c>
      <c r="X77" s="23" t="inlineStr">
        <is>
          <t>Not applicable</t>
        </is>
      </c>
      <c r="Y77" s="23" t="inlineStr">
        <is>
          <t>Not applicable</t>
        </is>
      </c>
      <c r="Z77" s="23">
        <f>IF(X77="","",IF(X77="Excluded","Consistent",IF(X77="Counted","Inconsistent",IF(X77="Varies (grantee/agency choice)","Partly inconsistent",IF(X77="Not applicable","Not applicable","Needs check")))))</f>
        <v/>
      </c>
      <c r="AA77" s="23" t="inlineStr">
        <is>
          <t>No household income eligibility test: research grants.</t>
        </is>
      </c>
      <c r="AB77" s="23" t="inlineStr">
        <is>
          <t>Not a means-tested household benefit.</t>
        </is>
      </c>
      <c r="AC77" s="23" t="n"/>
      <c r="AD77" s="23" t="inlineStr">
        <is>
          <t>Not verified — low risk (not income-tested)</t>
        </is>
      </c>
    </row>
    <row r="78" ht="152.25" customHeight="1">
      <c r="A78" s="18" t="n">
        <v>95</v>
      </c>
      <c r="B78" s="19" t="inlineStr">
        <is>
          <t>Lead Hazard Control and Healthy Homes Program</t>
        </is>
      </c>
      <c r="C78" s="20" t="inlineStr">
        <is>
          <t>Lead Hazard Control Capacity Building</t>
        </is>
      </c>
      <c r="D78" s="19" t="inlineStr">
        <is>
          <t>Lead Hazard Control and Healthy Homes Program</t>
        </is>
      </c>
      <c r="E78" s="20" t="inlineStr">
        <is>
          <t>Office of Lead Hazard Control and Healthy Homes</t>
        </is>
      </c>
      <c r="F78" s="19" t="inlineStr">
        <is>
          <t>address housing-related health and safety hazards; demonstration projects and research, outreach and education related to lead hazard control and healthy homes issues; enforcement of the Lead Safe Housing Rule and the Lead Disclosure Rule.</t>
        </is>
      </c>
      <c r="G78" s="19" t="inlineStr">
        <is>
          <t> Lead-Based Paint Poisoning Prevention Act (42 U.S.C. 4821, et seq.);  Residential Lead-Based Paint Hazard Reduction Act of 1992 (Title X of the Housing and Community Development Act of 1992; 42 U.S.C. 4851, et seq.);  Sections 501 and 502 of the Housing and Urban Development Act of 1970 (12 U.S.C. 1701z-1 and 1701z-2).</t>
        </is>
      </c>
      <c r="H78" s="19" t="inlineStr">
        <is>
          <t>Regulations are at 24 CFR part 35.</t>
        </is>
      </c>
      <c r="I78" s="21" t="inlineStr">
        <is>
          <t>https://www.hud.gov/program_offices/healthy_homes</t>
        </is>
      </c>
      <c r="J78" s="20" t="inlineStr">
        <is>
          <t>14.912</t>
        </is>
      </c>
      <c r="K78" s="20" t="inlineStr">
        <is>
          <t>Lead Hazard Control Capacity Building</t>
        </is>
      </c>
      <c r="L78" s="20" t="inlineStr">
        <is>
          <t>The purpose of the Lead Hazard Reduction Capacity Building Grant Program is to assist states, Federally-recognized Native American Tribes, cities, counties/parishes, or other units of local government which have not received a HUD lead hazard control grant or been a sub-recipient of such a grant in developing the infrastructure necessary to undertake comprehensive programs to identify and control lead-based paint hazards in eligible privately owned rental or owner-occupied housing.</t>
        </is>
      </c>
      <c r="M78" s="20" t="inlineStr">
        <is>
          <t>Project Grants</t>
        </is>
      </c>
      <c r="N78" s="20" t="inlineStr">
        <is>
          <t>Federal,Local,State</t>
        </is>
      </c>
      <c r="O78" s="20" t="inlineStr">
        <is>
          <t>Federally Recognized lndian Tribal Governments,Local (includes State-designated lndian Tribes, excludes institutions of higher education and hospitals,State (includes District of Columbia, public institutions of higher education and hospitals)</t>
        </is>
      </c>
      <c r="P78" s="22" t="n">
        <v>0</v>
      </c>
      <c r="Q78" s="22" t="n">
        <v>0</v>
      </c>
      <c r="R78" s="22" t="n">
        <v>0</v>
      </c>
      <c r="S78" s="23" t="inlineStr">
        <is>
          <t>Not income-tested</t>
        </is>
      </c>
      <c r="T78" s="23" t="inlineStr">
        <is>
          <t>Other statutes &amp; appropriations</t>
        </is>
      </c>
      <c r="U78" s="23" t="inlineStr">
        <is>
          <t>—</t>
        </is>
      </c>
      <c r="V78" s="23" t="inlineStr">
        <is>
          <t>N/A</t>
        </is>
      </c>
      <c r="W78" s="23" t="inlineStr">
        <is>
          <t>N/A</t>
        </is>
      </c>
      <c r="X78" s="23" t="inlineStr">
        <is>
          <t>Not applicable</t>
        </is>
      </c>
      <c r="Y78" s="23" t="inlineStr">
        <is>
          <t>Not applicable</t>
        </is>
      </c>
      <c r="Z78" s="23">
        <f>IF(X78="","",IF(X78="Excluded","Consistent",IF(X78="Counted","Inconsistent",IF(X78="Varies (grantee/agency choice)","Partly inconsistent",IF(X78="Not applicable","Not applicable","Needs check")))))</f>
        <v/>
      </c>
      <c r="AA78" s="23" t="inlineStr">
        <is>
          <t>No household income eligibility test: capacity-building grants.</t>
        </is>
      </c>
      <c r="AB78" s="23" t="inlineStr">
        <is>
          <t>Not a means-tested household benefit.</t>
        </is>
      </c>
      <c r="AC78" s="23" t="n"/>
      <c r="AD78" s="23" t="inlineStr">
        <is>
          <t>Not verified — low risk (not income-tested)</t>
        </is>
      </c>
    </row>
    <row r="79" ht="229.5" customHeight="1">
      <c r="A79" s="18" t="n">
        <v>95</v>
      </c>
      <c r="B79" s="19" t="inlineStr">
        <is>
          <t>Lead Hazard Control and Healthy Homes Program</t>
        </is>
      </c>
      <c r="C79" s="20" t="inlineStr">
        <is>
          <t>Healthy Homes Production Program</t>
        </is>
      </c>
      <c r="D79" s="19" t="inlineStr">
        <is>
          <t>Lead Hazard Control and Healthy Homes Program</t>
        </is>
      </c>
      <c r="E79" s="20" t="inlineStr">
        <is>
          <t>Office of Lead Hazard Control and Healthy Homes</t>
        </is>
      </c>
      <c r="F79" s="19" t="inlineStr">
        <is>
          <t>address housing-related health and safety hazards; demonstration projects and research, outreach and education related to lead hazard control and healthy homes issues; enforcement of the Lead Safe Housing Rule and the Lead Disclosure Rule.</t>
        </is>
      </c>
      <c r="G79" s="19" t="inlineStr">
        <is>
          <t> Lead-Based Paint Poisoning Prevention Act (42 U.S.C. 4821, et seq.);  Residential Lead-Based Paint Hazard Reduction Act of 1992 (Title X of the Housing and Community Development Act of 1992; 42 U.S.C. 4851, et seq.);  Sections 501 and 502 of the Housing and Urban Development Act of 1970 (12 U.S.C. 1701z-1 and 1701z-2).</t>
        </is>
      </c>
      <c r="H79" s="19" t="inlineStr">
        <is>
          <t>Regulations are at 24 CFR part 35.</t>
        </is>
      </c>
      <c r="I79" s="21" t="inlineStr">
        <is>
          <t>https://www.hud.gov/program_offices/healthy_homes</t>
        </is>
      </c>
      <c r="J79" s="20" t="inlineStr">
        <is>
          <t>14.913</t>
        </is>
      </c>
      <c r="K79" s="20" t="inlineStr">
        <is>
          <t>Healthy Homes Production Grant Program</t>
        </is>
      </c>
      <c r="L79" s="20" t="inlineStr">
        <is>
          <t>The purpose of the Healthy Homes Production Program is to comprehensively address multiple residential health and safety hazards, including mold, carbon monoxide, home safety hazards, pesticides and allergens (from pets and pests).</t>
        </is>
      </c>
      <c r="M79" s="20" t="inlineStr">
        <is>
          <t>Project Grants</t>
        </is>
      </c>
      <c r="N79" s="20" t="inlineStr">
        <is>
          <t>Homeowner,Low Income</t>
        </is>
      </c>
      <c r="O79" s="20" t="inlineStr">
        <is>
          <t>Federally Recognized lndian Tribal Governments,Local (includes State-designated lndian Tribes, excludes institutions of higher education and hospitals,Private nonprofit institution/organization (includes institutions of higher education and hospitals),Profit organization,Public nonprofit institution/organization (includes institutions of higher education and hospitals),State,State (includes District of Columbia, public institutions of higher education and hospitals)</t>
        </is>
      </c>
      <c r="P79" s="22" t="n">
        <v>0</v>
      </c>
      <c r="Q79" s="22" t="n">
        <v>0</v>
      </c>
      <c r="R79" s="22" t="n">
        <v>0</v>
      </c>
      <c r="S79" s="23" t="inlineStr">
        <is>
          <t>Household income test</t>
        </is>
      </c>
      <c r="T79" s="23" t="inlineStr">
        <is>
          <t>Other statutes &amp; appropriations</t>
        </is>
      </c>
      <c r="U79" s="23" t="inlineStr">
        <is>
          <t>Residential Lead-Based Paint Hazard Reduction Act of 1992 (42 U.S.C. 4852) and annual appropriations; NOFO</t>
        </is>
      </c>
      <c r="V79" s="23" t="inlineStr">
        <is>
          <t>Not set by regulation; defined in the NOFO</t>
        </is>
      </c>
      <c r="W79" s="23" t="inlineStr">
        <is>
          <t>N/A</t>
        </is>
      </c>
      <c r="X79" s="23" t="inlineStr">
        <is>
          <t>Unclear / needs check</t>
        </is>
      </c>
      <c r="Y79" s="23" t="inlineStr">
        <is>
          <t>Not applicable</t>
        </is>
      </c>
      <c r="Z79" s="23">
        <f>IF(X79="","",IF(X79="Excluded","Consistent",IF(X79="Counted","Inconsistent",IF(X79="Varies (grantee/agency choice)","Partly inconsistent",IF(X79="Not applicable","Not applicable","Needs check")))))</f>
        <v/>
      </c>
      <c r="AA79" s="23" t="inlineStr">
        <is>
          <t>Assisted units must generally be occupied by low-income households (≤80% AMI), but the income definition is set in each NOFO, not checked here.</t>
        </is>
      </c>
      <c r="AB79" s="23" t="inlineStr">
        <is>
          <t>Grant program for hazard remediation; income targeting comes from the authorizing statute/appropriations.</t>
        </is>
      </c>
      <c r="AC79" s="23" t="inlineStr">
        <is>
          <t>Check the current NOFO's income-determination section.</t>
        </is>
      </c>
      <c r="AD79" s="23" t="inlineStr">
        <is>
          <t>Not verified — needs check</t>
        </is>
      </c>
    </row>
    <row r="80" ht="229.5" customHeight="1">
      <c r="A80" s="18" t="n">
        <v>95</v>
      </c>
      <c r="B80" s="19" t="inlineStr">
        <is>
          <t>Lead Hazard Control and Healthy Homes Program</t>
        </is>
      </c>
      <c r="C80" s="20" t="inlineStr">
        <is>
          <t>Radon Interventions in Public and Assisted Multifamily Housing</t>
        </is>
      </c>
      <c r="D80" s="19" t="inlineStr">
        <is>
          <t>Lead Hazard Control and Healthy Homes Program</t>
        </is>
      </c>
      <c r="E80" s="20" t="inlineStr">
        <is>
          <t>Office of Lead Hazard Control and Healthy Homes</t>
        </is>
      </c>
      <c r="F80" s="19" t="inlineStr">
        <is>
          <t>address housing-related health and safety hazards; demonstration projects and research, outreach and education related to lead hazard control and healthy homes issues; enforcement of the Lead Safe Housing Rule and the Lead Disclosure Rule.</t>
        </is>
      </c>
      <c r="G80" s="19" t="inlineStr">
        <is>
          <t> Lead-Based Paint Poisoning Prevention Act (42 U.S.C. 4821, et seq.);  Residential Lead-Based Paint Hazard Reduction Act of 1992 (Title X of the Housing and Community Development Act of 1992; 42 U.S.C. 4851, et seq.);  Sections 501 and 502 of the Housing and Urban Development Act of 1970 (12 U.S.C. 1701z-1 and 1701z-2).</t>
        </is>
      </c>
      <c r="H80" s="19" t="inlineStr">
        <is>
          <t>Regulations are at 24 CFR part 35.</t>
        </is>
      </c>
      <c r="I80" s="21" t="inlineStr">
        <is>
          <t>https://www.hud.gov/program_offices/healthy_homes</t>
        </is>
      </c>
      <c r="J80" s="20" t="inlineStr">
        <is>
          <t>14.914</t>
        </is>
      </c>
      <c r="K80" s="20" t="n"/>
      <c r="L80" s="20" t="inlineStr">
        <is>
          <t>None.  The program is defunct</t>
        </is>
      </c>
      <c r="M80" s="20" t="inlineStr">
        <is>
          <t>Project Grants</t>
        </is>
      </c>
      <c r="N80" s="20" t="inlineStr">
        <is>
          <t>Low Income</t>
        </is>
      </c>
      <c r="O80" s="20" t="inlineStr">
        <is>
          <t>Federally Recognized lndian Tribal Governments,Local (includes State-designated lndian Tribes, excludes institutions of higher education and hospitals,Other public institution/organization,Private nonprofit institution/organization (includes institutions of higher education and hospitals),Profit organization,Public nonprofit institution/organization (includes institutions of higher education and hospitals),State (includes District of Columbia, public institutions of higher education and hospitals)</t>
        </is>
      </c>
      <c r="P80" s="22" t="n">
        <v>0</v>
      </c>
      <c r="Q80" s="22" t="n">
        <v>0</v>
      </c>
      <c r="R80" s="22" t="n">
        <v>0</v>
      </c>
      <c r="S80" s="23" t="inlineStr">
        <is>
          <t>Via underlying program</t>
        </is>
      </c>
      <c r="T80" s="23" t="inlineStr">
        <is>
          <t>U.S. Housing Act of 1937 (public housing &amp; Section 8)</t>
        </is>
      </c>
      <c r="U80" s="23" t="inlineStr">
        <is>
          <t>Eligibility inherited from public housing and assisted multifamily programs (Part 5)</t>
        </is>
      </c>
      <c r="V80" s="23" t="inlineStr">
        <is>
          <t>N/A (no separate income determination)</t>
        </is>
      </c>
      <c r="W80" s="23" t="inlineStr">
        <is>
          <t>N/A</t>
        </is>
      </c>
      <c r="X80" s="23" t="inlineStr">
        <is>
          <t>Not applicable</t>
        </is>
      </c>
      <c r="Y80" s="23" t="inlineStr">
        <is>
          <t>Not applicable</t>
        </is>
      </c>
      <c r="Z80" s="23">
        <f>IF(X80="","",IF(X80="Excluded","Consistent",IF(X80="Counted","Inconsistent",IF(X80="Varies (grantee/agency choice)","Partly inconsistent",IF(X80="Not applicable","Not applicable","Needs check")))))</f>
        <v/>
      </c>
      <c r="AA80" s="23" t="inlineStr">
        <is>
          <t>No separate household income determination; participants are already income-qualified under public housing and assisted multifamily programs (Part 5), where VA compensation is treated as shown on that program's row.</t>
        </is>
      </c>
      <c r="AB80" s="23" t="inlineStr">
        <is>
          <t>Program funds services, capital, or operations for households assisted under another program.</t>
        </is>
      </c>
      <c r="AC80" s="23" t="inlineStr">
        <is>
          <t>Property-level radon testing/mitigation.</t>
        </is>
      </c>
      <c r="AD80" s="23" t="inlineStr">
        <is>
          <t>Not verified — low risk (not income-tested)</t>
        </is>
      </c>
    </row>
    <row r="81" ht="125.25" customHeight="1">
      <c r="A81" s="18" t="n">
        <v>95</v>
      </c>
      <c r="B81" s="19" t="inlineStr">
        <is>
          <t>Lead Hazard Control and Healthy Homes Program</t>
        </is>
      </c>
      <c r="C81" s="20" t="inlineStr">
        <is>
          <t>Lead Hazard Control for High Risk Areas</t>
        </is>
      </c>
      <c r="D81" s="19" t="inlineStr">
        <is>
          <t>Lead Hazard Control and Healthy Homes Program</t>
        </is>
      </c>
      <c r="E81" s="20" t="inlineStr">
        <is>
          <t>Office of Lead Hazard Control and Healthy Homes</t>
        </is>
      </c>
      <c r="F81" s="19" t="inlineStr">
        <is>
          <t>address housing-related health and safety hazards; demonstration projects and research, outreach and education related to lead hazard control and healthy homes issues; enforcement of the Lead Safe Housing Rule and the Lead Disclosure Rule.</t>
        </is>
      </c>
      <c r="G81" s="19" t="inlineStr">
        <is>
          <t> Lead-Based Paint Poisoning Prevention Act (42 U.S.C. 4821, et seq.);  Residential Lead-Based Paint Hazard Reduction Act of 1992 (Title X of the Housing and Community Development Act of 1992; 42 U.S.C. 4851, et seq.);  Sections 501 and 502 of the Housing and Urban Development Act of 1970 (12 U.S.C. 1701z-1 and 1701z-2).</t>
        </is>
      </c>
      <c r="H81" s="19" t="inlineStr">
        <is>
          <t>Regulations are at 24 CFR part 35.</t>
        </is>
      </c>
      <c r="I81" s="21" t="inlineStr">
        <is>
          <t>https://www.hud.gov/program_offices/healthy_homes</t>
        </is>
      </c>
      <c r="J81" s="20" t="inlineStr">
        <is>
          <t>14.920</t>
        </is>
      </c>
      <c r="K81" s="20" t="inlineStr">
        <is>
          <t>Lead Risk Assessment Demonstration</t>
        </is>
      </c>
      <c r="L81" s="20" t="inlineStr">
        <is>
          <t>This funding will be made available to public housing agencies that operate the housing choice voucher program to conduct lead hazard screenings or lead-risk assessments during housing quality standards inspections of pre-1978 units in which a family with a voucher resides or expects to reside, and has or expects to have a child under age 6 residing in the unit, to demonstrate whether such a process preserves rental housing availability and affordability.</t>
        </is>
      </c>
      <c r="M81" s="20" t="inlineStr">
        <is>
          <t>Project Grants</t>
        </is>
      </c>
      <c r="N81" s="20" t="inlineStr">
        <is>
          <t>Low Income</t>
        </is>
      </c>
      <c r="O81" s="20" t="inlineStr">
        <is>
          <t>Local (includes State-designated lndian Tribes, excludes institutions of higher education and hospitals,State</t>
        </is>
      </c>
      <c r="P81" s="22" t="n">
        <v>0</v>
      </c>
      <c r="Q81" s="22" t="n">
        <v>0</v>
      </c>
      <c r="R81" s="22" t="n">
        <v>600000</v>
      </c>
      <c r="S81" s="23" t="inlineStr">
        <is>
          <t>Household income test</t>
        </is>
      </c>
      <c r="T81" s="23" t="inlineStr">
        <is>
          <t>Other statutes &amp; appropriations</t>
        </is>
      </c>
      <c r="U81" s="23" t="inlineStr">
        <is>
          <t>Residential Lead-Based Paint Hazard Reduction Act of 1992 (42 U.S.C. 4852) and annual appropriations; NOFO</t>
        </is>
      </c>
      <c r="V81" s="23" t="inlineStr">
        <is>
          <t>Not set by regulation; defined in the NOFO</t>
        </is>
      </c>
      <c r="W81" s="23" t="inlineStr">
        <is>
          <t>N/A</t>
        </is>
      </c>
      <c r="X81" s="23" t="inlineStr">
        <is>
          <t>Unclear / needs check</t>
        </is>
      </c>
      <c r="Y81" s="23" t="inlineStr">
        <is>
          <t>Not applicable</t>
        </is>
      </c>
      <c r="Z81" s="23">
        <f>IF(X81="","",IF(X81="Excluded","Consistent",IF(X81="Counted","Inconsistent",IF(X81="Varies (grantee/agency choice)","Partly inconsistent",IF(X81="Not applicable","Not applicable","Needs check")))))</f>
        <v/>
      </c>
      <c r="AA81" s="23" t="inlineStr">
        <is>
          <t>Assisted units must generally be occupied by low-income households (≤80% AMI), but the income definition is set in each NOFO, not checked here.</t>
        </is>
      </c>
      <c r="AB81" s="23" t="inlineStr">
        <is>
          <t>Grant program for hazard remediation; income targeting comes from the authorizing statute/appropriations.</t>
        </is>
      </c>
      <c r="AC81" s="23" t="inlineStr">
        <is>
          <t>Check the current NOFO's income-determination section.</t>
        </is>
      </c>
      <c r="AD81" s="23" t="inlineStr">
        <is>
          <t>Not verified — needs check</t>
        </is>
      </c>
    </row>
    <row r="82" ht="229.5" customHeight="1">
      <c r="A82" s="18" t="n">
        <v>95</v>
      </c>
      <c r="B82" s="19" t="inlineStr">
        <is>
          <t>Lead Hazard Control and Healthy Homes Program</t>
        </is>
      </c>
      <c r="C82" s="20" t="inlineStr">
        <is>
          <t>Older Adults Home Modification Grant Program</t>
        </is>
      </c>
      <c r="D82" s="19" t="inlineStr">
        <is>
          <t>Lead Hazard Control and Healthy Homes Program</t>
        </is>
      </c>
      <c r="E82" s="20" t="inlineStr">
        <is>
          <t>Office of Lead Hazard Control and Healthy Homes</t>
        </is>
      </c>
      <c r="F82" s="19" t="inlineStr">
        <is>
          <t>address housing-related health and safety hazards; demonstration projects and research, outreach and education related to lead hazard control and healthy homes issues; enforcement of the Lead Safe Housing Rule and the Lead Disclosure Rule.</t>
        </is>
      </c>
      <c r="G82" s="19" t="inlineStr">
        <is>
          <t> Lead-Based Paint Poisoning Prevention Act (42 U.S.C. 4821, et seq.);  Residential Lead-Based Paint Hazard Reduction Act of 1992 (Title X of the Housing and Community Development Act of 1992; 42 U.S.C. 4851, et seq.);  Sections 501 and 502 of the Housing and Urban Development Act of 1970 (12 U.S.C. 1701z-1 and 1701z-2).</t>
        </is>
      </c>
      <c r="H82" s="19" t="inlineStr">
        <is>
          <t>Regulations are at 24 CFR part 35.</t>
        </is>
      </c>
      <c r="I82" s="21" t="inlineStr">
        <is>
          <t>https://www.hud.gov/program_offices/healthy_homes</t>
        </is>
      </c>
      <c r="J82" s="20" t="inlineStr">
        <is>
          <t>14.921</t>
        </is>
      </c>
      <c r="K82" s="20" t="n"/>
      <c r="L82" s="20" t="inlineStr">
        <is>
          <t>The purpose of the Older Adults Home Modification Grant Program is to enhance local capacity to sustainably operate low-barrier, participant-led programs that address the home modification needs of low-income older persons and their caregivers.</t>
        </is>
      </c>
      <c r="M82" s="20" t="inlineStr">
        <is>
          <t>Project Grants</t>
        </is>
      </c>
      <c r="N82" s="20" t="inlineStr">
        <is>
          <t>Individual/Family,Low Income,Rural</t>
        </is>
      </c>
      <c r="O82" s="20" t="inlineStr">
        <is>
          <t>Government - General,Local (includes State-designated lndian Tribes, excludes institutions of higher education and hospitals,Private nonprofit institution/organization (includes institutions of higher education and hospitals),Public nonprofit institution/organization (includes institutions of higher education and hospitals),State,State (includes District of Columbia, public institutions of higher education and hospitals)</t>
        </is>
      </c>
      <c r="P82" s="22" t="n">
        <v>0</v>
      </c>
      <c r="Q82" s="22" t="n">
        <v>10000000</v>
      </c>
      <c r="R82" s="22" t="n">
        <v>0</v>
      </c>
      <c r="S82" s="23" t="inlineStr">
        <is>
          <t>Household income test</t>
        </is>
      </c>
      <c r="T82" s="23" t="inlineStr">
        <is>
          <t>Other statutes &amp; appropriations</t>
        </is>
      </c>
      <c r="U82" s="23" t="inlineStr">
        <is>
          <t>Residential Lead-Based Paint Hazard Reduction Act of 1992 (42 U.S.C. 4852) and annual appropriations; NOFO</t>
        </is>
      </c>
      <c r="V82" s="23" t="inlineStr">
        <is>
          <t>Not set by regulation; defined in the NOFO</t>
        </is>
      </c>
      <c r="W82" s="23" t="inlineStr">
        <is>
          <t>N/A</t>
        </is>
      </c>
      <c r="X82" s="23" t="inlineStr">
        <is>
          <t>Unclear / needs check</t>
        </is>
      </c>
      <c r="Y82" s="23" t="inlineStr">
        <is>
          <t>Not applicable</t>
        </is>
      </c>
      <c r="Z82" s="23">
        <f>IF(X82="","",IF(X82="Excluded","Consistent",IF(X82="Counted","Inconsistent",IF(X82="Varies (grantee/agency choice)","Partly inconsistent",IF(X82="Not applicable","Not applicable","Needs check")))))</f>
        <v/>
      </c>
      <c r="AA82" s="23" t="inlineStr">
        <is>
          <t>Assisted units must generally be occupied by low-income households (≤80% AMI), but the income definition is set in each NOFO, not checked here.</t>
        </is>
      </c>
      <c r="AB82" s="23" t="inlineStr">
        <is>
          <t>Grant program for hazard remediation; income targeting comes from the authorizing statute/appropriations.</t>
        </is>
      </c>
      <c r="AC82" s="23" t="inlineStr">
        <is>
          <t>Check the current NOFO's income-determination section. Older Adults Home Modification serves low-income homeowners 62+.</t>
        </is>
      </c>
      <c r="AD82" s="23" t="inlineStr">
        <is>
          <t>Not verified — needs check</t>
        </is>
      </c>
    </row>
    <row r="83" ht="229.5" customHeight="1">
      <c r="A83" s="18" t="n">
        <v>98</v>
      </c>
      <c r="B83" s="19" t="inlineStr">
        <is>
          <t>Tribal HUD-VASH</t>
        </is>
      </c>
      <c r="C83" s="20" t="inlineStr">
        <is>
          <t>Tribal HUD-VA Supportive Housing Program</t>
        </is>
      </c>
      <c r="D83" s="19" t="inlineStr">
        <is>
          <t>Temporary Programs — Consolidated and Further Continuing Appropriations Act, 2015</t>
        </is>
      </c>
      <c r="E83" s="20" t="inlineStr">
        <is>
          <t>Assistant Secretary for Public and Indian Housing</t>
        </is>
      </c>
      <c r="F83" s="19" t="inlineStr">
        <is>
          <t>The Tribal HUD-Veterans Affairs Supportive Housing program (Tribal HUD-VASH) provides rental assistance and supportive services to Native American veterans who are homeless or at risk of homelessness living on or near a reservation or other Indian areas. HUD provides grants to eligible Tribes and Tribally Designated Housing Entities (TDHEs), which partner with the U.S. Department of Veterans Affairs to provide case management and services to eligible Native American veterans. Housing assistance is either tenant-based or project-based and is made available by grants to Tribes and TDHEs that are eligible to receive Indian Housing Block Grant funding under the Native American Housing Assistance and Self-Determination Act of 1996. This program is funded through annual appropriations acts, most recently through the Consolidated Appropriations Act, 2024 (Public Law 118-42, approved March 9, 2024).</t>
        </is>
      </c>
      <c r="G83" s="19" t="n"/>
      <c r="H83" s="19" t="n"/>
      <c r="I83" s="21" t="inlineStr">
        <is>
          <t>https://www.hud.gov/program_offices/public_indian_housing/ih/tribalhudvash</t>
        </is>
      </c>
      <c r="J83" s="20" t="inlineStr">
        <is>
          <t>14.899</t>
        </is>
      </c>
      <c r="K83" s="20" t="inlineStr">
        <is>
          <t>Tribal HUD-VASH</t>
        </is>
      </c>
      <c r="L83" s="20" t="inlineStr">
        <is>
          <t>The Tribal HUD-VASH program combines rental assistance from the Department of Housing and Urban Development (HUD) with supportive services provided by the Department of Veterans Affairs to Native American Veterans who are homeless or at risk of homelessness.</t>
        </is>
      </c>
      <c r="M83" s="20" t="inlineStr">
        <is>
          <t>Project Grants</t>
        </is>
      </c>
      <c r="N83" s="20" t="inlineStr">
        <is>
          <t>American Indian,Federally Recognized Indian Tribal Governments,Individual/Family,Low Income,Minority group,Native American Organizations,Specialized group (e.g. health professionals, students, veterans),Unemployed,Veteran/Service person/Reservist (including dependents</t>
        </is>
      </c>
      <c r="O83" s="20" t="inlineStr">
        <is>
          <t>Government - General</t>
        </is>
      </c>
      <c r="P83" s="22" t="n">
        <v>0</v>
      </c>
      <c r="Q83" s="22" t="n">
        <v>0</v>
      </c>
      <c r="R83" s="22" t="n">
        <v>0</v>
      </c>
      <c r="S83" s="23" t="inlineStr">
        <is>
          <t>Household income test</t>
        </is>
      </c>
      <c r="T83" s="23" t="inlineStr">
        <is>
          <t>NAHASDA &amp; Native housing</t>
        </is>
      </c>
      <c r="U83" s="23" t="inlineStr">
        <is>
          <t>NAHASDA (25 U.S.C. 4103(9)(C)); IHBG definitions at 24 CFR 1000.10; annual appropriations</t>
        </is>
      </c>
      <c r="V83" s="23" t="inlineStr">
        <is>
          <t>IHBG definitions (24 CFR 1000.10), subject to the statutory exclusion</t>
        </is>
      </c>
      <c r="W83" s="23" t="inlineStr">
        <is>
          <t>Grantee menu</t>
        </is>
      </c>
      <c r="X83" s="23" t="inlineStr">
        <is>
          <t>Excluded</t>
        </is>
      </c>
      <c r="Y83" s="23" t="inlineStr">
        <is>
          <t>Excluded</t>
        </is>
      </c>
      <c r="Z83" s="23">
        <f>IF(X83="","",IF(X83="Excluded","Consistent",IF(X83="Counted","Inconsistent",IF(X83="Varies (grantee/agency choice)","Partly inconsistent",IF(X83="Not applicable","Not applicable","Needs check")))))</f>
        <v/>
      </c>
      <c r="AA83" s="23" t="inlineStr">
        <is>
          <t>NAHASDA's statutory definition of 'income' (25 U.S.C. 4103(9)(C), added by PL 111-269 in 2010) excludes VA disability compensation under 38 U.S.C. chapter 11 and dependency and indemnity compensation under chapter 13. Because adjusted income is built from income, the exclusion carries into rent as well. HUD's FY25 Tribal HUD-VASH FAQs (June 2025, Q14–Q15) confirm the 1000.10 definitions apply and that chapter 11 compensation and chapter 13 DIC are excluded.</t>
        </is>
      </c>
      <c r="AB83" s="23" t="inlineStr">
        <is>
          <t>Congress amended NAHASDA in 2010 specifically to stop counting VA service-connected compensation against Native veteran families (S. Rept. 111-299).</t>
        </is>
      </c>
      <c r="AC83" s="23" t="inlineStr">
        <is>
          <t>Tribal HUD-VASH runs under NAHASDA, not Section 8, so the 1937 Act HUD-VASH provisions (PL 119-101) don't govern it. Note the contrast: Tribal HUD-VASH excludes VA compensation from rent too; regular HUD-VASH counts it for rent.</t>
        </is>
      </c>
      <c r="AD83" s="23" t="inlineStr">
        <is>
          <t>Verified — primary source</t>
        </is>
      </c>
    </row>
    <row r="84" ht="229.5" customHeight="1">
      <c r="A84" s="18" t="n">
        <v>98</v>
      </c>
      <c r="B84" s="19" t="inlineStr">
        <is>
          <t>Youth Homelessness Demonstration Program</t>
        </is>
      </c>
      <c r="C84" s="20" t="inlineStr">
        <is>
          <t>Youth Homelessness Demonstration Program</t>
        </is>
      </c>
      <c r="D84" s="19" t="inlineStr">
        <is>
          <t>Temporary Programs — Consolidated Appropriations Act, 2016</t>
        </is>
      </c>
      <c r="E84" s="20" t="inlineStr">
        <is>
          <t>Assistant Secretary for Community Planning and Development</t>
        </is>
      </c>
      <c r="F84" s="19" t="inlineStr">
        <is>
          <t>The Youth Homelessness Demonstration Program (YHDP) aims to both demonstrate how a comprehensive approach to serving youth, age 24 and under, who are experiencing homelessness can reduce the number of youths experiencing homelessness and to try new strategies for serving youth experiencing homelessness. This is done by providing grants to States, counties, cities, townships, and nonprofits on a competitive basis through a notice of funding opportunity (NOFO) in which HUD selects communities for participation. Recipients are to serve youth experiencing homelessness, age 24 and under, including unaccompanied and pregnant or parenting youth, by developing and implementing a community plan to prevent and end youth homelessness. This program is funded through annual appropriations acts, most recently through the Consolidated Appropriations Act, 2024 (Public Law 118-42, approved March 9, 2024).</t>
        </is>
      </c>
      <c r="G84" s="19" t="n"/>
      <c r="H84" s="19" t="n"/>
      <c r="I84" s="21" t="inlineStr">
        <is>
          <t>https://www.hud.gov/program_offices/comm_planning/yhdp</t>
        </is>
      </c>
      <c r="J84" s="20" t="inlineStr">
        <is>
          <t>14.276</t>
        </is>
      </c>
      <c r="K84" s="20" t="inlineStr">
        <is>
          <t>Youth Homelessness Demonstration Program</t>
        </is>
      </c>
      <c r="L84" s="20" t="inlineStr">
        <is>
          <t>The goal of the Youth Homeless Demonstration Program (YHDP) is to support selected communities in the development and implementation of a coordinated community approach to preventing and ending youth homelessness and sharing that experience with and mobilizing communities around the country toward the same end. The population to be served by this demonstration program is youth experiencing homelessness, age 24 and under, including unaccompanied youth and pregnant or parenting youth who are experiencing homelessness. HUD will award approximately $72,000,000 in YHDP under this NOFO through funding appropriated for fiscal year (FY) 2023 through the Consolidated Appropriations Act, 2023 (Public Law 117-328) ("FY 2023 Appropriations Act). The FY 2023 Appropriations Act appropriated this funding to HUD "to implement projects to demonstrate how a comprehensive approach to serving homeless youth, age 24 and under ... can dramatically reduce youth homelessness.”</t>
        </is>
      </c>
      <c r="M84" s="20" t="inlineStr">
        <is>
          <t>Project Grants</t>
        </is>
      </c>
      <c r="N84" s="20" t="inlineStr">
        <is>
          <t>Individual/Family,Youth (16-21)</t>
        </is>
      </c>
      <c r="O84" s="20" t="inlineStr">
        <is>
          <t>Individual/Family</t>
        </is>
      </c>
      <c r="P84" s="22" t="n">
        <v>0</v>
      </c>
      <c r="Q84" s="22" t="n">
        <v>111294174.62</v>
      </c>
      <c r="R84" s="22" t="n">
        <v>67424987.95</v>
      </c>
      <c r="S84" s="23" t="inlineStr">
        <is>
          <t>Varies by component</t>
        </is>
      </c>
      <c r="T84" s="23" t="inlineStr">
        <is>
          <t>McKinney-Vento / AIDS Housing Opportunity Act</t>
        </is>
      </c>
      <c r="U84" s="23" t="inlineStr">
        <is>
          <t>McKinney-Vento Act; appropriations; 24 CFR part 578 (CoC rules)</t>
        </is>
      </c>
      <c r="V84" s="23" t="inlineStr">
        <is>
          <t>Part 5 (5.609/5.611(a)) for occupancy charges/rent</t>
        </is>
      </c>
      <c r="W84" s="23" t="inlineStr">
        <is>
          <t>Mandatory</t>
        </is>
      </c>
      <c r="X84" s="23" t="inlineStr">
        <is>
          <t>Not applicable</t>
        </is>
      </c>
      <c r="Y84" s="23" t="inlineStr">
        <is>
          <t>Counted</t>
        </is>
      </c>
      <c r="Z84" s="23">
        <f>IF(X84="","",IF(X84="Excluded","Consistent",IF(X84="Counted","Inconsistent",IF(X84="Varies (grantee/agency choice)","Partly inconsistent",IF(X84="Not applicable","Not applicable","Needs check")))))</f>
        <v/>
      </c>
      <c r="AA84" s="23" t="inlineStr">
        <is>
          <t>YHDP projects operate under CoC rules: eligibility is by homelessness/age, not income; occupancy charges/rent use 5.609/5.611(a) (578.77).</t>
        </is>
      </c>
      <c r="AB84" s="23" t="inlineStr">
        <is>
          <t>Same as CoC.</t>
        </is>
      </c>
      <c r="AC84" s="23" t="inlineStr">
        <is>
          <t>Application of part 578 to YHDP inferred.</t>
        </is>
      </c>
      <c r="AD84" s="23" t="inlineStr">
        <is>
          <t>Partly verified</t>
        </is>
      </c>
    </row>
    <row r="85" ht="229.5" customHeight="1">
      <c r="A85" s="18" t="n">
        <v>101</v>
      </c>
      <c r="B85" s="19" t="inlineStr">
        <is>
          <t>Green and Resilient Retrofit Program (GRRP)</t>
        </is>
      </c>
      <c r="C85" s="20" t="inlineStr">
        <is>
          <t>Green and Resilient Retrofit Program</t>
        </is>
      </c>
      <c r="D85" s="19" t="inlineStr">
        <is>
          <t>Temporary Programs — Inflation Reduction Act (IRA)</t>
        </is>
      </c>
      <c r="E85" s="20" t="inlineStr">
        <is>
          <t>Assistant Secretary for Housing -- Federal Housing Commissioner</t>
        </is>
      </c>
      <c r="F85" s="19" t="inlineStr">
        <is>
          <t>GRRP provides owners of HUD-assisted multifamily housing with capital resources to reduce carbon emissions, make utility efficiency improvements, incorporate renewable energy sources, and make properties more resilient against the effects of climate hazards. HUD has three paths (cohorts) of funding available to meet the needs of properties at all stages of redevelopment. The first funding path, Elements awards, provides funding for owners to include proven and meaningful climate resilience and utility efficiency measures in projects that are already in the process of a recapitalization transaction. The second path, Leading Edge awards, provides funding for ambitious retrofit activities to achieve an advanced green certification. This is geared toward properties in the planning stages of a recapitalization effort. The final funding path, Comprehensive awards, provides funding to properties with the highest need for climate resilience and utility efficiency upgrades, regardless of prior development or environmental retrofit experience.</t>
        </is>
      </c>
      <c r="G85" s="19" t="n"/>
      <c r="H85" s="19" t="n"/>
      <c r="I85" s="21" t="inlineStr">
        <is>
          <t>https://www.hud.gov/GRRP</t>
        </is>
      </c>
      <c r="J85" s="20" t="inlineStr">
        <is>
          <t>14.021</t>
        </is>
      </c>
      <c r="K85" s="20" t="inlineStr">
        <is>
          <t>GRRP</t>
        </is>
      </c>
      <c r="L85" s="20" t="inlineStr">
        <is>
          <t>The Green and Resilient Retrofit Program offers loans and grants for HUD-assisted multifamily properties to improve energy or water efficiency, enhance indoor air quality or sustainability, implement the use of zero-emission electricity generation, low-emission building materials or processes, energy storage, or building electrification strategies, or address climate resilience.</t>
        </is>
      </c>
      <c r="M85" s="20" t="inlineStr">
        <is>
          <t>Direct Loans</t>
        </is>
      </c>
      <c r="N85" s="20" t="inlineStr">
        <is>
          <t>Private nonprofit institution/organization,Profit organization,Public nonprofit institution/organization</t>
        </is>
      </c>
      <c r="O85" s="20" t="inlineStr">
        <is>
          <t>Private nonprofit institution/organization (includes institutions of higher education and hospitals),Profit organization,Public nonprofit institution/organization (includes institutions of higher education and hospitals)</t>
        </is>
      </c>
      <c r="P85" s="22" t="n">
        <v>0</v>
      </c>
      <c r="Q85" s="22" t="n">
        <v>590926365</v>
      </c>
      <c r="R85" s="22" t="n">
        <v>9025948</v>
      </c>
      <c r="S85" s="23" t="inlineStr">
        <is>
          <t>Via underlying program</t>
        </is>
      </c>
      <c r="T85" s="23" t="inlineStr">
        <is>
          <t>Other statutes &amp; appropriations</t>
        </is>
      </c>
      <c r="U85" s="23" t="inlineStr">
        <is>
          <t>Eligibility inherited from assisted multifamily programs (Section 8 PBRA, 202, 811)</t>
        </is>
      </c>
      <c r="V85" s="23" t="inlineStr">
        <is>
          <t>N/A (no separate income determination)</t>
        </is>
      </c>
      <c r="W85" s="23" t="inlineStr">
        <is>
          <t>N/A</t>
        </is>
      </c>
      <c r="X85" s="23" t="inlineStr">
        <is>
          <t>Not applicable</t>
        </is>
      </c>
      <c r="Y85" s="23" t="inlineStr">
        <is>
          <t>Not applicable</t>
        </is>
      </c>
      <c r="Z85" s="23">
        <f>IF(X85="","",IF(X85="Excluded","Consistent",IF(X85="Counted","Inconsistent",IF(X85="Varies (grantee/agency choice)","Partly inconsistent",IF(X85="Not applicable","Not applicable","Needs check")))))</f>
        <v/>
      </c>
      <c r="AA85" s="23" t="inlineStr">
        <is>
          <t>No separate household income determination; participants are already income-qualified under assisted multifamily programs (Section 8 PBRA, 202, 811), where VA compensation is treated as shown on that program's row.</t>
        </is>
      </c>
      <c r="AB85" s="23" t="inlineStr">
        <is>
          <t>Program funds services, capital, or operations for households assisted under another program.</t>
        </is>
      </c>
      <c r="AC85" s="23" t="inlineStr">
        <is>
          <t>Inflation Reduction Act §30002 grants/loans to property owners.</t>
        </is>
      </c>
      <c r="AD85" s="23" t="inlineStr">
        <is>
          <t>Not verified — low risk (not income-tested)</t>
        </is>
      </c>
    </row>
    <row r="86" ht="229.5" customHeight="1">
      <c r="A86" s="18" t="n">
        <v>101</v>
      </c>
      <c r="B86" s="19" t="inlineStr">
        <is>
          <t>Preservation And Reinvestment Initiative for Community Enhancement (PRICE)</t>
        </is>
      </c>
      <c r="C86" s="20" t="inlineStr">
        <is>
          <t>Community Development Block Grant- PRICE Competition</t>
        </is>
      </c>
      <c r="D86" s="19" t="inlineStr">
        <is>
          <t>Temporary Programs — Consolidated Appropriations Act, 2023</t>
        </is>
      </c>
      <c r="E86" s="20" t="inlineStr">
        <is>
          <t>Assistant Secretary for Community Planning and Development</t>
        </is>
      </c>
      <c r="F86" s="19" t="inlineStr">
        <is>
          <t>The Consolidated Appropriations Act, 2023, created competitive grants to “preserve and revitalize manufactured housing and eligible manufactured housing communities.” The Appropriations Act limited grant recipients to States, units of general local government, residentowned manufactured housing communities, cooperatives, nonprofit entities including consortia of nonprofit entities, community development financial institutions, Indian tribes, or other entities approved by the Secretary. This program was most recently funded through the Consolidated Appropriations Act, 2024 (Public Law 118-42, approved March 9, 2024).</t>
        </is>
      </c>
      <c r="G86" s="19" t="n"/>
      <c r="H86" s="19" t="n"/>
      <c r="I86" s="21" t="inlineStr">
        <is>
          <t>https://www.hud.gov/program_offices/comm_planning/price</t>
        </is>
      </c>
      <c r="J86" s="20" t="inlineStr">
        <is>
          <t>14.024</t>
        </is>
      </c>
      <c r="K86" s="20" t="inlineStr">
        <is>
          <t>CDBG-PRICE</t>
        </is>
      </c>
      <c r="L86" s="20" t="inlineStr">
        <is>
          <t>The Community Development Block Grant - Preservation and Reinvestment Initiative for Community Enhancement (CDBG-PRICE) competition provides competitive grant funds to help preserve and revitalize manufactured housing and eligible manufactured housing communities and assist in the redevelopment of manufactured housing communities as replacement housing that is affordable.</t>
        </is>
      </c>
      <c r="M86" s="20" t="inlineStr">
        <is>
          <t>Project Grants</t>
        </is>
      </c>
      <c r="N86" s="20" t="n"/>
      <c r="O86" s="20" t="inlineStr">
        <is>
          <t>Federally Recognized lndian Tribal Governments,Government - General,Local (includes State-designated lndian Tribes, excludes institutions of higher education and hospitals,Minority group,Native American Organizations (includes lndian groups, cooperatives, corporations, partnerships, associations),Non-Government - General,Profit organization,Quasi-public nonprofit institution/organization,State</t>
        </is>
      </c>
      <c r="P86" s="22" t="n">
        <v>0</v>
      </c>
      <c r="Q86" s="22" t="n">
        <v>0</v>
      </c>
      <c r="R86" s="22" t="n">
        <v>0</v>
      </c>
      <c r="S86" s="23" t="inlineStr">
        <is>
          <t>Household income test</t>
        </is>
      </c>
      <c r="T86" s="23" t="inlineStr">
        <is>
          <t>HCDA Title I (CDBG family)</t>
        </is>
      </c>
      <c r="U86" s="23" t="inlineStr">
        <is>
          <t>42 U.S.C. 5302(a)(20)(C) (added by PL 119-70 §2); 24 CFR 570.3 'Income'</t>
        </is>
      </c>
      <c r="V86" s="23" t="inlineStr">
        <is>
          <t>Part 5 / Census long-form / IRS 1040 AGI (grantee picks per activity)</t>
        </is>
      </c>
      <c r="W86" s="23" t="inlineStr">
        <is>
          <t>Grantee menu</t>
        </is>
      </c>
      <c r="X86" s="23" t="inlineStr">
        <is>
          <t>Excluded</t>
        </is>
      </c>
      <c r="Y86" s="23" t="inlineStr">
        <is>
          <t>Not applicable</t>
        </is>
      </c>
      <c r="Z86" s="23">
        <f>IF(X86="","",IF(X86="Excluded","Consistent",IF(X86="Counted","Inconsistent",IF(X86="Varies (grantee/agency choice)","Partly inconsistent",IF(X86="Not applicable","Not applicable","Needs check")))))</f>
        <v/>
      </c>
      <c r="AA86" s="23" t="inlineStr">
        <is>
          <t>PL 119-70 §2 (Jan. 20, 2026) requires a State, unit of general local government, or Indian tribe to exclude VA service-connected disability compensation when determining whether a person is low/moderate income. HUD implemented it sub-regulatorily in Notice CPD-26-09 (posted Sept. 4, 2026). 24 CFR 570.3 has not been amended: its Census option still lists 'Veterans' (VA) payments' as income.</t>
        </is>
      </c>
      <c r="AB86" s="23" t="inlineStr">
        <is>
          <t>HCDA sets income limits (80% AMI) but left the income definition to HUD, which offered a three-definition menu (1995) to ease local administration. Before PL 119-70, treatment depended on the definition: counted under Part 5 and Census, excluded under IRS 1040 (compensation is non-taxable). Congress cited that inconsistency (H. Rept. 118-652).</t>
        </is>
      </c>
      <c r="AC86" s="23" t="inlineStr">
        <is>
          <t>PRICE was appropriated as CDBG funds for manufactured housing preservation. Statute (5302(a)(20)(C)) and 570.3 read this session; CPD-26-09's existence and date confirmed but its text could not be retrieved.</t>
        </is>
      </c>
      <c r="AD86" s="23" t="inlineStr">
        <is>
          <t>Partly verified</t>
        </is>
      </c>
    </row>
    <row r="87" ht="206.25" customHeight="1">
      <c r="A87" s="18" t="n">
        <v>101</v>
      </c>
      <c r="B87" s="19" t="inlineStr">
        <is>
          <t>Pathways to Removing Obstacles to Housing (PRO Housing)</t>
        </is>
      </c>
      <c r="C87" s="20" t="inlineStr">
        <is>
          <t>Community Development Block Grant- PRO Housing Competition</t>
        </is>
      </c>
      <c r="D87" s="19" t="inlineStr">
        <is>
          <t>Temporary Programs — Consolidated Appropriations Act, 2023</t>
        </is>
      </c>
      <c r="E87" s="20" t="inlineStr">
        <is>
          <t>Assistant Secretary for Community Planning and Development</t>
        </is>
      </c>
      <c r="F87" s="19" t="inlineStr">
        <is>
          <t>The Consolidated Appropriations Act, 2023, created competitive grants to State and local governments, metropolitan planning organizations, and multijurisdictional entities for the identification and removal of barriers to affordable housing production and preservation through activities intended to further develop, evaluate, and implement housing policy plans, improve housing strategies, and facilitate affordable housing production and preservation. The Consolidated Appropriations Act, 2024 (Public Law 118-42, approved March 9, 2024) provided further funding.</t>
        </is>
      </c>
      <c r="G87" s="19" t="n"/>
      <c r="H87" s="19" t="n"/>
      <c r="I87" s="21" t="inlineStr">
        <is>
          <t>https://www.hud.gov/program_offices/comm_planning/pro_housing</t>
        </is>
      </c>
      <c r="J87" s="20" t="inlineStr">
        <is>
          <t>14.023</t>
        </is>
      </c>
      <c r="K87" s="20" t="inlineStr">
        <is>
          <t>PRO Housing</t>
        </is>
      </c>
      <c r="L87" s="20" t="inlineStr">
        <is>
          <t>PRO (Pathways to Removing Obstacles) to Housing provides competitive grant funds for the identification and removal of barriers to affordable housing production and preservation.</t>
        </is>
      </c>
      <c r="M87" s="20" t="inlineStr">
        <is>
          <t>Project Grants</t>
        </is>
      </c>
      <c r="N87" s="20" t="n"/>
      <c r="O87" s="20" t="inlineStr">
        <is>
          <t>Government - General,Local (includes State-designated lndian Tribes, excludes institutions of higher education and hospitals,Native American Organizations (includes lndian groups, cooperatives, corporations, partnerships, associations),Non-Government - General,Other private institutions/organizations,Other public institution/organization,State</t>
        </is>
      </c>
      <c r="P87" s="22" t="n">
        <v>0</v>
      </c>
      <c r="Q87" s="22" t="n">
        <v>84935899.92</v>
      </c>
      <c r="R87" s="22" t="n">
        <v>0</v>
      </c>
      <c r="S87" s="23" t="inlineStr">
        <is>
          <t>Household income test</t>
        </is>
      </c>
      <c r="T87" s="23" t="inlineStr">
        <is>
          <t>HCDA Title I (CDBG family)</t>
        </is>
      </c>
      <c r="U87" s="23" t="inlineStr">
        <is>
          <t>42 U.S.C. 5302(a)(20)(C) (added by PL 119-70 §2); 24 CFR 570.3 'Income'</t>
        </is>
      </c>
      <c r="V87" s="23" t="inlineStr">
        <is>
          <t>Part 5 / Census long-form / IRS 1040 AGI (grantee picks per activity)</t>
        </is>
      </c>
      <c r="W87" s="23" t="inlineStr">
        <is>
          <t>Grantee menu</t>
        </is>
      </c>
      <c r="X87" s="23" t="inlineStr">
        <is>
          <t>Excluded</t>
        </is>
      </c>
      <c r="Y87" s="23" t="inlineStr">
        <is>
          <t>Not applicable</t>
        </is>
      </c>
      <c r="Z87" s="23">
        <f>IF(X87="","",IF(X87="Excluded","Consistent",IF(X87="Counted","Inconsistent",IF(X87="Varies (grantee/agency choice)","Partly inconsistent",IF(X87="Not applicable","Not applicable","Needs check")))))</f>
        <v/>
      </c>
      <c r="AA87" s="23" t="inlineStr">
        <is>
          <t>PL 119-70 §2 (Jan. 20, 2026) requires a State, unit of general local government, or Indian tribe to exclude VA service-connected disability compensation when determining whether a person is low/moderate income. HUD implemented it sub-regulatorily in Notice CPD-26-09 (posted Sept. 4, 2026). 24 CFR 570.3 has not been amended: its Census option still lists 'Veterans' (VA) payments' as income.</t>
        </is>
      </c>
      <c r="AB87" s="23" t="inlineStr">
        <is>
          <t>HCDA sets income limits (80% AMI) but left the income definition to HUD, which offered a three-definition menu (1995) to ease local administration. Before PL 119-70, treatment depended on the definition: counted under Part 5 and Census, excluded under IRS 1040 (compensation is non-taxable). Congress cited that inconsistency (H. Rept. 118-652).</t>
        </is>
      </c>
      <c r="AC87" s="23" t="inlineStr">
        <is>
          <t>PRO Housing is mostly planning and barrier-removal; household income determinations may rarely arise. Statute (5302(a)(20)(C)) and 570.3 read this session; CPD-26-09's existence and date confirmed but its text could not be retrieved.</t>
        </is>
      </c>
      <c r="AD87" s="23" t="inlineStr">
        <is>
          <t>Partly verified</t>
        </is>
      </c>
    </row>
    <row r="88" ht="229.5" customHeight="1">
      <c r="A88" s="18" t="n">
        <v>104</v>
      </c>
      <c r="B88" s="19" t="inlineStr">
        <is>
          <t>Economic Development Initiative (“Competitive EDI”) Grants</t>
        </is>
      </c>
      <c r="C88" s="20" t="inlineStr">
        <is>
          <t>Economic Development Initiative, Community Project Funding, and Miscellaneous grants</t>
        </is>
      </c>
      <c r="D88" s="19" t="inlineStr">
        <is>
          <t>Inactive Programs — Community Planning and Development</t>
        </is>
      </c>
      <c r="E88" s="20" t="inlineStr">
        <is>
          <t>Office of Community Planning and Development</t>
        </is>
      </c>
      <c r="F88" s="19" t="inlineStr">
        <is>
          <t>Grants to directly enhance the security of Section 108 guaranteed loans or to improve the viability of the same Section 108 assisted project.</t>
        </is>
      </c>
      <c r="G88" s="19" t="n"/>
      <c r="H88" s="19" t="n"/>
      <c r="I88" s="19" t="n"/>
      <c r="J88" s="20" t="inlineStr">
        <is>
          <t>14.251</t>
        </is>
      </c>
      <c r="K88" s="20" t="inlineStr">
        <is>
          <t>Congressional Grants</t>
        </is>
      </c>
      <c r="L88" s="20" t="inlineStr">
        <is>
          <t>The annual appropriation of funds to the Department and the accompanying Conference Report or Congressional Record accompanying the appropriation set forth grants in a specified amount to designated organizations for the activities specified by Congress.</t>
        </is>
      </c>
      <c r="M88" s="20" t="inlineStr">
        <is>
          <t>Project Grants</t>
        </is>
      </c>
      <c r="N88" s="20" t="inlineStr">
        <is>
          <t>Federal,Federally Recognized Indian Tribal Governments,Local,Native American Organizations,Other private institution/organization,Other public institution/organization,Preschool,Private nonprofit institution/organization,Public nonprofit institution/organization,Quasi-public nonprofit organization,School,State,U.S. Territories</t>
        </is>
      </c>
      <c r="O88" s="20" t="inlineStr">
        <is>
          <t>Local (includes State-designated lndian Tribes, excludes institutions of higher education and hospitals,Native American Organizations (includes lndian groups, cooperatives, corporations, partnerships, associations),Public nonprofit institution/organization (includes institutions of higher education and hospitals),State (includes District of Columbia, public institutions of higher education and hospitals)</t>
        </is>
      </c>
      <c r="P88" s="22" t="n">
        <v>0</v>
      </c>
      <c r="Q88" s="22" t="n">
        <v>11423477</v>
      </c>
      <c r="R88" s="22" t="n">
        <v>2815228723</v>
      </c>
      <c r="S88" s="23" t="inlineStr">
        <is>
          <t>Varies by component</t>
        </is>
      </c>
      <c r="T88" s="23" t="inlineStr">
        <is>
          <t>Other statutes &amp; appropriations</t>
        </is>
      </c>
      <c r="U88" s="23" t="inlineStr">
        <is>
          <t>Annual appropriations (Competitive EDI tied to Section 108; Community Project Funding earmarks)</t>
        </is>
      </c>
      <c r="V88" s="23" t="inlineStr">
        <is>
          <t>Varies by activity</t>
        </is>
      </c>
      <c r="W88" s="23" t="inlineStr">
        <is>
          <t>N/A</t>
        </is>
      </c>
      <c r="X88" s="23" t="inlineStr">
        <is>
          <t>Unclear / needs check</t>
        </is>
      </c>
      <c r="Y88" s="23" t="inlineStr">
        <is>
          <t>Not applicable</t>
        </is>
      </c>
      <c r="Z88" s="23">
        <f>IF(X88="","",IF(X88="Excluded","Consistent",IF(X88="Counted","Inconsistent",IF(X88="Varies (grantee/agency choice)","Partly inconsistent",IF(X88="Not applicable","Not applicable","Needs check")))))</f>
        <v/>
      </c>
      <c r="AA88" s="23" t="inlineStr">
        <is>
          <t>Competitive EDI supports Section 108 projects (CDBG rules); Community Project Funding earmarks follow the rules attached to each grant.</t>
        </is>
      </c>
      <c r="AB88" s="23" t="inlineStr">
        <is>
          <t>Appropriations-driven grants without a single income rule.</t>
        </is>
      </c>
      <c r="AC88" s="23" t="n"/>
      <c r="AD88" s="23" t="inlineStr">
        <is>
          <t>Not verified — needs check</t>
        </is>
      </c>
    </row>
    <row r="89" ht="192.75" customHeight="1">
      <c r="A89" s="18" t="n">
        <v>104</v>
      </c>
      <c r="B89" s="19" t="inlineStr">
        <is>
          <t>Veterans Housing Rehabilitation and Modification Pilot Program (VHRMP)</t>
        </is>
      </c>
      <c r="C89" s="20" t="inlineStr">
        <is>
          <t>Veterans Housing Rehabilitation and Modification Program</t>
        </is>
      </c>
      <c r="D89" s="19" t="inlineStr">
        <is>
          <t>Inactive Programs — Community Planning and Development</t>
        </is>
      </c>
      <c r="E89" s="20" t="inlineStr">
        <is>
          <t>Assistant Secretary for Community Planning and Development</t>
        </is>
      </c>
      <c r="F89" s="19" t="inlineStr">
        <is>
          <t>Section 1079 of the National Defense Authorization Act for Fiscal Year 2015 authorized grants to qualified nonprofit organizations to rehabilitate and modify the primary residence of eligible veterans. Conducted in consultation with the Secretary of Veterans Affairs, grant funds were used to modify or rehabilitate the home of low-income disabled veterans. The program was funded in 2016 and subsequent appropriations acts, most recently the Consolidated Appropriations Act, 2023.</t>
        </is>
      </c>
      <c r="G89" s="19" t="n"/>
      <c r="H89" s="19" t="n"/>
      <c r="I89" s="19" t="n"/>
      <c r="J89" s="20" t="inlineStr">
        <is>
          <t>14.278</t>
        </is>
      </c>
      <c r="K89" s="20" t="inlineStr">
        <is>
          <t>Veterans Housing Rehabilitation and Modification Program</t>
        </is>
      </c>
      <c r="L89" s="20" t="inlineStr">
        <is>
          <t xml:space="preserve">The purpose of the Veterans Housing Rehabilitation and Modification Program is to award grants to nonprofit veterans service organizations to rehabilitate and modify the primary residence of disabled and low-income veterans. 
Funds may be used to support eligible activities that serve the following objectives: 
1) Modify and rehabilitate the primary residence of disabled and low-income veterans;
2) Rehabilitate such residence that is in a state of interior or exterior disrepair; and
3) Install energy efficient features or equipment.
</t>
        </is>
      </c>
      <c r="M89" s="20" t="inlineStr">
        <is>
          <t>Project Grants</t>
        </is>
      </c>
      <c r="N89" s="20" t="inlineStr">
        <is>
          <t>Private nonprofit institution/organization</t>
        </is>
      </c>
      <c r="O89" s="20" t="inlineStr">
        <is>
          <t>Private nonprofit institution/organization (includes institutions of higher education and hospitals)</t>
        </is>
      </c>
      <c r="P89" s="22" t="n">
        <v>0</v>
      </c>
      <c r="Q89" s="22" t="n">
        <v>1000000</v>
      </c>
      <c r="R89" s="22" t="n">
        <v>0</v>
      </c>
      <c r="S89" s="23" t="inlineStr">
        <is>
          <t>Household income test</t>
        </is>
      </c>
      <c r="T89" s="23" t="inlineStr">
        <is>
          <t>Other statutes &amp; appropriations</t>
        </is>
      </c>
      <c r="U89" s="23" t="inlineStr">
        <is>
          <t>NDAA FY2015 §1079 (PL 113-291); NOFO</t>
        </is>
      </c>
      <c r="V89" s="23" t="inlineStr">
        <is>
          <t>Not specified in statute or 2017 FR notice; set by NOFO</t>
        </is>
      </c>
      <c r="W89" s="23" t="inlineStr">
        <is>
          <t>N/A</t>
        </is>
      </c>
      <c r="X89" s="23" t="inlineStr">
        <is>
          <t>Unclear / needs check</t>
        </is>
      </c>
      <c r="Y89" s="23" t="inlineStr">
        <is>
          <t>Not applicable</t>
        </is>
      </c>
      <c r="Z89" s="23">
        <f>IF(X89="","",IF(X89="Excluded","Consistent",IF(X89="Counted","Inconsistent",IF(X89="Varies (grantee/agency choice)","Partly inconsistent",IF(X89="Not applicable","Not applicable","Needs check")))))</f>
        <v/>
      </c>
      <c r="AA89" s="23" t="inlineStr">
        <is>
          <t>Serves low-income veterans (≤80% AMI per the 2017 FR notice), but neither the statute nor the 2017 notice says how income is determined or whether VA compensation counts.</t>
        </is>
      </c>
      <c r="AB89" s="23" t="inlineStr">
        <is>
          <t>Veteran-specific pilot; income rule left to program design.</t>
        </is>
      </c>
      <c r="AC89" s="23" t="inlineStr">
        <is>
          <t>Directly relevant to the audit: a veterans program whose treatment of VA compensation isn't documented in sources found. Worth asking HUD's Office of Rural Housing and Economic Development.</t>
        </is>
      </c>
      <c r="AD89" s="23" t="inlineStr">
        <is>
          <t>Not verified — needs check</t>
        </is>
      </c>
    </row>
    <row r="90" ht="21.75" customHeight="1">
      <c r="A90" s="4" t="inlineStr">
        <is>
          <t>UNMATCHED — Programs of HUD entries with no matching FPI program (38 programs)</t>
        </is>
      </c>
    </row>
    <row r="91" ht="84.75" customHeight="1">
      <c r="A91" s="18" t="n">
        <v>6</v>
      </c>
      <c r="B91" s="19" t="inlineStr">
        <is>
          <t>The Violence Against Women Act (VAWA)</t>
        </is>
      </c>
      <c r="C91" s="11" t="n"/>
      <c r="D91" s="19" t="inlineStr">
        <is>
          <t>Offices of the Secretary &amp; Deputy Secretary</t>
        </is>
      </c>
      <c r="E91" s="11" t="n"/>
      <c r="F91" s="19" t="inlineStr">
        <is>
          <t>Provides housing protections for survivors of domestic violence, dating violence, sexual assault, and stalking in covered housing programs.</t>
        </is>
      </c>
      <c r="G91" s="19" t="inlineStr">
        <is>
          <t>Chapter 2 of Subtitle N of the Violence Against Women Act of 1994 (34 U.S.C. 12471, et seq.); (34 U.S.C. 12491-12496).</t>
        </is>
      </c>
      <c r="H91" s="19" t="inlineStr">
        <is>
          <t>Regulations are found at 24 CFR part 5, subpart L and in individual program regulations. The Violence Against Women Act Reauthorization Act of 2022 (Public Law 117-103, approved March 15, 2022).</t>
        </is>
      </c>
      <c r="I91" s="21" t="inlineStr">
        <is>
          <t>https://www.hud.gov/vawa</t>
        </is>
      </c>
      <c r="J91" s="11" t="n"/>
      <c r="K91" s="11" t="n"/>
      <c r="L91" s="11" t="n"/>
      <c r="M91" s="11" t="n"/>
      <c r="N91" s="11" t="n"/>
      <c r="O91" s="11" t="n"/>
      <c r="P91" s="11" t="n"/>
      <c r="Q91" s="11" t="n"/>
      <c r="R91" s="11" t="n"/>
      <c r="S91" s="23" t="inlineStr">
        <is>
          <t>Not income-tested</t>
        </is>
      </c>
      <c r="T91" s="23" t="inlineStr">
        <is>
          <t>Other statutes &amp; appropriations</t>
        </is>
      </c>
      <c r="U91" s="23" t="inlineStr">
        <is>
          <t>Violence Against Women Act (34 U.S.C. 12491)</t>
        </is>
      </c>
      <c r="V91" s="23" t="inlineStr">
        <is>
          <t>N/A</t>
        </is>
      </c>
      <c r="W91" s="23" t="inlineStr">
        <is>
          <t>N/A</t>
        </is>
      </c>
      <c r="X91" s="23" t="inlineStr">
        <is>
          <t>Not applicable</t>
        </is>
      </c>
      <c r="Y91" s="23" t="inlineStr">
        <is>
          <t>Not applicable</t>
        </is>
      </c>
      <c r="Z91" s="23">
        <f>IF(X91="","",IF(X91="Excluded","Consistent",IF(X91="Counted","Inconsistent",IF(X91="Varies (grantee/agency choice)","Partly inconsistent",IF(X91="Not applicable","Not applicable","Needs check")))))</f>
        <v/>
      </c>
      <c r="AA91" s="23" t="inlineStr">
        <is>
          <t>No household income eligibility test: cross-cutting VAWA housing protections.</t>
        </is>
      </c>
      <c r="AB91" s="23" t="inlineStr">
        <is>
          <t>Not a means-tested household benefit.</t>
        </is>
      </c>
      <c r="AC91" s="23" t="n"/>
      <c r="AD91" s="23" t="inlineStr">
        <is>
          <t>Not verified — low risk (not income-tested)</t>
        </is>
      </c>
    </row>
    <row r="92" ht="57.75" customHeight="1">
      <c r="A92" s="18" t="n">
        <v>7</v>
      </c>
      <c r="B92" s="19" t="inlineStr">
        <is>
          <t>Self-Help Housing Property Disposition Program</t>
        </is>
      </c>
      <c r="C92" s="11" t="n"/>
      <c r="D92" s="19" t="inlineStr">
        <is>
          <t>Offices of the Secretary &amp; Deputy Secretary</t>
        </is>
      </c>
      <c r="E92" s="11" t="n"/>
      <c r="F92" s="19" t="inlineStr">
        <is>
          <t>This program makes surplus Federal properties available through sale at less than fair market value to States, their subdivisions and instrumentalities, and nonprofit organizations.</t>
        </is>
      </c>
      <c r="G92" s="19" t="inlineStr">
        <is>
          <t>40 U.S.C. 550(f)(3).</t>
        </is>
      </c>
      <c r="H92" s="19" t="n"/>
      <c r="I92" s="21" t="inlineStr">
        <is>
          <t>https://disposal.gsa.gov/s/</t>
        </is>
      </c>
      <c r="J92" s="11" t="n"/>
      <c r="K92" s="11" t="n"/>
      <c r="L92" s="11" t="n"/>
      <c r="M92" s="11" t="n"/>
      <c r="N92" s="11" t="n"/>
      <c r="O92" s="11" t="n"/>
      <c r="P92" s="11" t="n"/>
      <c r="Q92" s="11" t="n"/>
      <c r="R92" s="11" t="n"/>
      <c r="S92" s="23" t="inlineStr">
        <is>
          <t>Not income-tested</t>
        </is>
      </c>
      <c r="T92" s="23" t="inlineStr">
        <is>
          <t>Other statutes &amp; appropriations</t>
        </is>
      </c>
      <c r="U92" s="23" t="inlineStr">
        <is>
          <t>—</t>
        </is>
      </c>
      <c r="V92" s="23" t="inlineStr">
        <is>
          <t>N/A</t>
        </is>
      </c>
      <c r="W92" s="23" t="inlineStr">
        <is>
          <t>N/A</t>
        </is>
      </c>
      <c r="X92" s="23" t="inlineStr">
        <is>
          <t>Not applicable</t>
        </is>
      </c>
      <c r="Y92" s="23" t="inlineStr">
        <is>
          <t>Not applicable</t>
        </is>
      </c>
      <c r="Z92" s="23">
        <f>IF(X92="","",IF(X92="Excluded","Consistent",IF(X92="Counted","Inconsistent",IF(X92="Varies (grantee/agency choice)","Partly inconsistent",IF(X92="Not applicable","Not applicable","Needs check")))))</f>
        <v/>
      </c>
      <c r="AA92" s="23" t="inlineStr">
        <is>
          <t>No household income eligibility test: conveyance of surplus federal property to self-help housing organizations.</t>
        </is>
      </c>
      <c r="AB92" s="23" t="inlineStr">
        <is>
          <t>Not a means-tested household benefit.</t>
        </is>
      </c>
      <c r="AC92" s="23" t="n"/>
      <c r="AD92" s="23" t="inlineStr">
        <is>
          <t>Not verified — low risk (not income-tested)</t>
        </is>
      </c>
    </row>
    <row r="93" ht="71.25" customHeight="1">
      <c r="A93" s="18" t="n">
        <v>19</v>
      </c>
      <c r="B93" s="19" t="inlineStr">
        <is>
          <t>Federal Surplus Property for Use to Assist Persons Experiencing Homelessness (Title V)</t>
        </is>
      </c>
      <c r="C93" s="11" t="n"/>
      <c r="D93" s="19" t="inlineStr">
        <is>
          <t>Community Planning and Development (CPD)</t>
        </is>
      </c>
      <c r="E93" s="11" t="n"/>
      <c r="F93" s="19" t="inlineStr">
        <is>
          <t>Enables States, local governments, and qualified nonprofit organizations to use suitable and available Federal properties which are categorized as unutilized, underutilized, excess, or surplus, to assist persons experiencing homelessness.</t>
        </is>
      </c>
      <c r="G93" s="19" t="inlineStr">
        <is>
          <t>Title V of the McKinney-Vento Homeless Assistance Act of 1987 (42 U.S.C. 11411).</t>
        </is>
      </c>
      <c r="H93" s="19" t="inlineStr">
        <is>
          <t>Regulations are at 24 CFR part 581.</t>
        </is>
      </c>
      <c r="I93" s="21" t="inlineStr">
        <is>
          <t>https://www.hud.gov/program_offices/comm_planning/titlev</t>
        </is>
      </c>
      <c r="J93" s="11" t="n"/>
      <c r="K93" s="11" t="n"/>
      <c r="L93" s="11" t="n"/>
      <c r="M93" s="11" t="n"/>
      <c r="N93" s="11" t="n"/>
      <c r="O93" s="11" t="n"/>
      <c r="P93" s="11" t="n"/>
      <c r="Q93" s="11" t="n"/>
      <c r="R93" s="11" t="n"/>
      <c r="S93" s="23" t="inlineStr">
        <is>
          <t>Not income-tested</t>
        </is>
      </c>
      <c r="T93" s="23" t="inlineStr">
        <is>
          <t>Other statutes &amp; appropriations</t>
        </is>
      </c>
      <c r="U93" s="23" t="inlineStr">
        <is>
          <t>McKinney-Vento Title V</t>
        </is>
      </c>
      <c r="V93" s="23" t="inlineStr">
        <is>
          <t>N/A</t>
        </is>
      </c>
      <c r="W93" s="23" t="inlineStr">
        <is>
          <t>N/A</t>
        </is>
      </c>
      <c r="X93" s="23" t="inlineStr">
        <is>
          <t>Not applicable</t>
        </is>
      </c>
      <c r="Y93" s="23" t="inlineStr">
        <is>
          <t>Not applicable</t>
        </is>
      </c>
      <c r="Z93" s="23">
        <f>IF(X93="","",IF(X93="Excluded","Consistent",IF(X93="Counted","Inconsistent",IF(X93="Varies (grantee/agency choice)","Partly inconsistent",IF(X93="Not applicable","Not applicable","Needs check")))))</f>
        <v/>
      </c>
      <c r="AA93" s="23" t="inlineStr">
        <is>
          <t>No household income eligibility test: conveyance of surplus federal property to homeless service providers.</t>
        </is>
      </c>
      <c r="AB93" s="23" t="inlineStr">
        <is>
          <t>Not a means-tested household benefit.</t>
        </is>
      </c>
      <c r="AC93" s="23" t="n"/>
      <c r="AD93" s="23" t="inlineStr">
        <is>
          <t>Not verified — low risk (not income-tested)</t>
        </is>
      </c>
    </row>
    <row r="94" ht="57.75" customHeight="1">
      <c r="A94" s="18" t="n">
        <v>26</v>
      </c>
      <c r="B94" s="19" t="inlineStr">
        <is>
          <t>Energy Efficient Mortgage Program</t>
        </is>
      </c>
      <c r="C94" s="11" t="n"/>
      <c r="D94" s="19" t="inlineStr">
        <is>
          <t>Office of Housing — Single Family Housing Programs</t>
        </is>
      </c>
      <c r="E94" s="11" t="n"/>
      <c r="F94" s="19" t="inlineStr">
        <is>
          <t>Mortgage insurance to finance cost effective energy efficiency improvements.</t>
        </is>
      </c>
      <c r="G94" s="19" t="inlineStr">
        <is>
          <t>Section 513 of the Housing and Community Development Act of 1992 (Public Law 102-550, approved October 28, 1992) (12 U.S.C. 1701z-16).</t>
        </is>
      </c>
      <c r="H94" s="19" t="inlineStr">
        <is>
          <t>Regulations are at 24 CFR 203.18(i).</t>
        </is>
      </c>
      <c r="I94" s="21" t="inlineStr">
        <is>
          <t>https://www.hud.gov/program_offices/housing/sfh/eem/energy-r</t>
        </is>
      </c>
      <c r="J94" s="11" t="n"/>
      <c r="K94" s="11" t="n"/>
      <c r="L94" s="11" t="n"/>
      <c r="M94" s="11" t="n"/>
      <c r="N94" s="11" t="n"/>
      <c r="O94" s="11" t="n"/>
      <c r="P94" s="11" t="n"/>
      <c r="Q94" s="11" t="n"/>
      <c r="R94" s="11" t="n"/>
      <c r="S94" s="23" t="inlineStr">
        <is>
          <t>Underwriting only</t>
        </is>
      </c>
      <c r="T94" s="23" t="inlineStr">
        <is>
          <t>National Housing Act (FHA &amp; mortgage insurance)</t>
        </is>
      </c>
      <c r="U94" s="23" t="inlineStr">
        <is>
          <t>National Housing Act (12 U.S.C. 1701 et seq.)</t>
        </is>
      </c>
      <c r="V94" s="23" t="inlineStr">
        <is>
          <t>N/A (credit underwriting, no income limit)</t>
        </is>
      </c>
      <c r="W94" s="23" t="inlineStr">
        <is>
          <t>N/A</t>
        </is>
      </c>
      <c r="X94" s="23" t="inlineStr">
        <is>
          <t>Not applicable</t>
        </is>
      </c>
      <c r="Y94" s="23" t="inlineStr">
        <is>
          <t>Not applicable</t>
        </is>
      </c>
      <c r="Z94" s="23">
        <f>IF(X94="","",IF(X94="Excluded","Consistent",IF(X94="Counted","Inconsistent",IF(X94="Varies (grantee/agency choice)","Partly inconsistent",IF(X94="Not applicable","Not applicable","Needs check")))))</f>
        <v/>
      </c>
      <c r="AA94" s="23" t="inlineStr">
        <is>
          <t>No HUD low-income eligibility test. Borrower income is assessed only for ability to repay under FHA underwriting.</t>
        </is>
      </c>
      <c r="AB94" s="23" t="inlineStr">
        <is>
          <t>Mortgage insurance/credit programs test repayment capacity, not need.</t>
        </is>
      </c>
      <c r="AC94" s="23" t="inlineStr">
        <is>
          <t>Claude's understanding (not verified): FHA underwriting (Handbook 4000.1) treats VA disability benefits as effective income and allows grossing up non-taxable income, which helps rather than hurts a veteran borrower.</t>
        </is>
      </c>
      <c r="AD94" s="23" t="inlineStr">
        <is>
          <t>Not verified — low risk (not income-tested)</t>
        </is>
      </c>
    </row>
    <row r="95" ht="57.75" customHeight="1">
      <c r="A95" s="18" t="n">
        <v>30</v>
      </c>
      <c r="B95" s="19" t="inlineStr">
        <is>
          <t>Insured Mortgages on Hawaiian Home Lands (Section 247)</t>
        </is>
      </c>
      <c r="C95" s="11" t="n"/>
      <c r="D95" s="19" t="inlineStr">
        <is>
          <t>Office of Housing — Single Family Housing Programs</t>
        </is>
      </c>
      <c r="E95" s="11" t="n"/>
      <c r="F95" s="19" t="inlineStr">
        <is>
          <t>Insures loans to Native Hawaiians to purchase one- to four-family dwellings located on Hawaiian Home Lands, similar to Section 203(b) loans with certain exceptions.</t>
        </is>
      </c>
      <c r="G95" s="19" t="inlineStr">
        <is>
          <t>Section 247 of the National Housing Act (12 U.S.C. 1715z-12).</t>
        </is>
      </c>
      <c r="H95" s="19" t="inlineStr">
        <is>
          <t>Regulations are at 24 CFR 203.43i.</t>
        </is>
      </c>
      <c r="I95" s="21" t="inlineStr">
        <is>
          <t>https://www.hud.gov/program_offices/housing/sfh/ins/sfh_hawaiian_home_lands</t>
        </is>
      </c>
      <c r="J95" s="11" t="n"/>
      <c r="K95" s="11" t="n"/>
      <c r="L95" s="11" t="n"/>
      <c r="M95" s="11" t="n"/>
      <c r="N95" s="11" t="n"/>
      <c r="O95" s="11" t="n"/>
      <c r="P95" s="11" t="n"/>
      <c r="Q95" s="11" t="n"/>
      <c r="R95" s="11" t="n"/>
      <c r="S95" s="23" t="inlineStr">
        <is>
          <t>Underwriting only</t>
        </is>
      </c>
      <c r="T95" s="23" t="inlineStr">
        <is>
          <t>National Housing Act (FHA &amp; mortgage insurance)</t>
        </is>
      </c>
      <c r="U95" s="23" t="inlineStr">
        <is>
          <t>National Housing Act §247</t>
        </is>
      </c>
      <c r="V95" s="23" t="inlineStr">
        <is>
          <t>N/A (credit underwriting, no income limit)</t>
        </is>
      </c>
      <c r="W95" s="23" t="inlineStr">
        <is>
          <t>N/A</t>
        </is>
      </c>
      <c r="X95" s="23" t="inlineStr">
        <is>
          <t>Not applicable</t>
        </is>
      </c>
      <c r="Y95" s="23" t="inlineStr">
        <is>
          <t>Not applicable</t>
        </is>
      </c>
      <c r="Z95" s="23">
        <f>IF(X95="","",IF(X95="Excluded","Consistent",IF(X95="Counted","Inconsistent",IF(X95="Varies (grantee/agency choice)","Partly inconsistent",IF(X95="Not applicable","Not applicable","Needs check")))))</f>
        <v/>
      </c>
      <c r="AA95" s="23" t="inlineStr">
        <is>
          <t>No HUD low-income eligibility test. Borrower income is assessed only for ability to repay under FHA underwriting.</t>
        </is>
      </c>
      <c r="AB95" s="23" t="inlineStr">
        <is>
          <t>Mortgage insurance/credit programs test repayment capacity, not need.</t>
        </is>
      </c>
      <c r="AC95" s="23" t="inlineStr">
        <is>
          <t>Claude's understanding (not verified): FHA underwriting (Handbook 4000.1) treats VA disability benefits as effective income and allows grossing up non-taxable income, which helps rather than hurts a veteran borrower.</t>
        </is>
      </c>
      <c r="AD95" s="23" t="inlineStr">
        <is>
          <t>Not verified — low risk (not income-tested)</t>
        </is>
      </c>
    </row>
    <row r="96" ht="44.25" customHeight="1">
      <c r="A96" s="18" t="n">
        <v>31</v>
      </c>
      <c r="B96" s="19" t="inlineStr">
        <is>
          <t>Loss Mitigation</t>
        </is>
      </c>
      <c r="C96" s="11" t="n"/>
      <c r="D96" s="19" t="inlineStr">
        <is>
          <t>Office of Housing — Single Family Housing Programs</t>
        </is>
      </c>
      <c r="E96" s="11" t="n"/>
      <c r="F96" s="19" t="inlineStr">
        <is>
          <t>Measures that allow lenders to effectively work with delinquent borrowers of FHA-insured single family loans to find solutions to avoid foreclosure.</t>
        </is>
      </c>
      <c r="G96" s="19" t="inlineStr">
        <is>
          <t>Sections 204(a) and 230 of the National Housing Act (12 U.S.C. 1710(a) and 12 U.S.C. 1715u).</t>
        </is>
      </c>
      <c r="H96" s="19" t="inlineStr">
        <is>
          <t>Regulations are at 24 CFR part 203.</t>
        </is>
      </c>
      <c r="I96" s="21" t="inlineStr">
        <is>
          <t>https://www.hud.gov/program_offices/housing/sfh/nsc/lossmit</t>
        </is>
      </c>
      <c r="J96" s="11" t="n"/>
      <c r="K96" s="11" t="n"/>
      <c r="L96" s="11" t="n"/>
      <c r="M96" s="11" t="n"/>
      <c r="N96" s="11" t="n"/>
      <c r="O96" s="11" t="n"/>
      <c r="P96" s="11" t="n"/>
      <c r="Q96" s="11" t="n"/>
      <c r="R96" s="11" t="n"/>
      <c r="S96" s="23" t="inlineStr">
        <is>
          <t>Underwriting only</t>
        </is>
      </c>
      <c r="T96" s="23" t="inlineStr">
        <is>
          <t>National Housing Act (FHA &amp; mortgage insurance)</t>
        </is>
      </c>
      <c r="U96" s="23" t="inlineStr">
        <is>
          <t>National Housing Act (12 U.S.C. 1701 et seq.)</t>
        </is>
      </c>
      <c r="V96" s="23" t="inlineStr">
        <is>
          <t>N/A (credit underwriting, no income limit)</t>
        </is>
      </c>
      <c r="W96" s="23" t="inlineStr">
        <is>
          <t>N/A</t>
        </is>
      </c>
      <c r="X96" s="23" t="inlineStr">
        <is>
          <t>Not applicable</t>
        </is>
      </c>
      <c r="Y96" s="23" t="inlineStr">
        <is>
          <t>Not applicable</t>
        </is>
      </c>
      <c r="Z96" s="23">
        <f>IF(X96="","",IF(X96="Excluded","Consistent",IF(X96="Counted","Inconsistent",IF(X96="Varies (grantee/agency choice)","Partly inconsistent",IF(X96="Not applicable","Not applicable","Needs check")))))</f>
        <v/>
      </c>
      <c r="AA96" s="23" t="inlineStr">
        <is>
          <t>No HUD low-income eligibility test. Borrower income is assessed only for ability to repay under FHA underwriting.</t>
        </is>
      </c>
      <c r="AB96" s="23" t="inlineStr">
        <is>
          <t>Mortgage insurance/credit programs test repayment capacity, not need.</t>
        </is>
      </c>
      <c r="AC96" s="23" t="inlineStr">
        <is>
          <t>Loss mitigation assesses the borrower's ability to pay, not eligibility for need-based assistance.</t>
        </is>
      </c>
      <c r="AD96" s="23" t="inlineStr">
        <is>
          <t>Not verified — low risk (not income-tested)</t>
        </is>
      </c>
    </row>
    <row r="97" ht="57.75" customHeight="1">
      <c r="A97" s="18" t="n">
        <v>35</v>
      </c>
      <c r="B97" s="19" t="inlineStr">
        <is>
          <t>Mortgage Insurance Programs on Indian Reservations and Other Restricted Lands (Section 248)</t>
        </is>
      </c>
      <c r="C97" s="11" t="n"/>
      <c r="D97" s="19" t="inlineStr">
        <is>
          <t>Office of Housing — Single Family Housing Programs</t>
        </is>
      </c>
      <c r="E97" s="11" t="n"/>
      <c r="F97" s="19" t="inlineStr">
        <is>
          <t>Mortgage insurance for loans made to Native Americans to buy, build, or rehabilitate houses on Indian trust or otherwise restricted land; fundamentally the same as Section 203(b) loans.</t>
        </is>
      </c>
      <c r="G97" s="19" t="inlineStr">
        <is>
          <t>Section 248 of the National Housing Act (12 U.S.C. 1715z-13).</t>
        </is>
      </c>
      <c r="H97" s="19" t="inlineStr">
        <is>
          <t>Regulations are at 24 CFR 203.43h.</t>
        </is>
      </c>
      <c r="I97" s="21" t="inlineStr">
        <is>
          <t>https://www.hud.gov/program_offices/housing/sfh/ins/sfh248</t>
        </is>
      </c>
      <c r="J97" s="11" t="n"/>
      <c r="K97" s="11" t="n"/>
      <c r="L97" s="11" t="n"/>
      <c r="M97" s="11" t="n"/>
      <c r="N97" s="11" t="n"/>
      <c r="O97" s="11" t="n"/>
      <c r="P97" s="11" t="n"/>
      <c r="Q97" s="11" t="n"/>
      <c r="R97" s="11" t="n"/>
      <c r="S97" s="23" t="inlineStr">
        <is>
          <t>Underwriting only</t>
        </is>
      </c>
      <c r="T97" s="23" t="inlineStr">
        <is>
          <t>National Housing Act (FHA &amp; mortgage insurance)</t>
        </is>
      </c>
      <c r="U97" s="23" t="inlineStr">
        <is>
          <t>National Housing Act §248</t>
        </is>
      </c>
      <c r="V97" s="23" t="inlineStr">
        <is>
          <t>N/A (credit underwriting, no income limit)</t>
        </is>
      </c>
      <c r="W97" s="23" t="inlineStr">
        <is>
          <t>N/A</t>
        </is>
      </c>
      <c r="X97" s="23" t="inlineStr">
        <is>
          <t>Not applicable</t>
        </is>
      </c>
      <c r="Y97" s="23" t="inlineStr">
        <is>
          <t>Not applicable</t>
        </is>
      </c>
      <c r="Z97" s="23">
        <f>IF(X97="","",IF(X97="Excluded","Consistent",IF(X97="Counted","Inconsistent",IF(X97="Varies (grantee/agency choice)","Partly inconsistent",IF(X97="Not applicable","Not applicable","Needs check")))))</f>
        <v/>
      </c>
      <c r="AA97" s="23" t="inlineStr">
        <is>
          <t>No HUD low-income eligibility test. Borrower income is assessed only for ability to repay under FHA underwriting.</t>
        </is>
      </c>
      <c r="AB97" s="23" t="inlineStr">
        <is>
          <t>Mortgage insurance/credit programs test repayment capacity, not need.</t>
        </is>
      </c>
      <c r="AC97" s="23" t="inlineStr">
        <is>
          <t>Claude's understanding (not verified): FHA underwriting (Handbook 4000.1) treats VA disability benefits as effective income and allows grossing up non-taxable income, which helps rather than hurts a veteran borrower.</t>
        </is>
      </c>
      <c r="AD97" s="23" t="inlineStr">
        <is>
          <t>Not verified — low risk (not income-tested)</t>
        </is>
      </c>
    </row>
    <row r="98" ht="84.75" customHeight="1">
      <c r="A98" s="18" t="n">
        <v>39</v>
      </c>
      <c r="B98" s="19" t="inlineStr">
        <is>
          <t>Single Family Loan Sale Program (SFLS)</t>
        </is>
      </c>
      <c r="C98" s="11" t="n"/>
      <c r="D98" s="19" t="inlineStr">
        <is>
          <t>Office of Housing — Single Family Housing Programs</t>
        </is>
      </c>
      <c r="E98" s="11" t="n"/>
      <c r="F98" s="19" t="inlineStr">
        <is>
          <t>Servicers assign eligible, defaulted single family mortgage loans to FHA in exchange for claim payment, after which FHA terminates its insurance and pools and sells the loans either in competitive auctions to qualified bidders or, on a limited basis, directly to units of State and local government.</t>
        </is>
      </c>
      <c r="G98" s="19" t="inlineStr">
        <is>
          <t>Sections 204(a) and (g) of the National Housing Act (12 U.S.C. 1710(a) and (g)).</t>
        </is>
      </c>
      <c r="H98" s="19" t="inlineStr">
        <is>
          <t>Regulations are at 24 CFR part 291.</t>
        </is>
      </c>
      <c r="I98" s="21" t="inlineStr">
        <is>
          <t>https://www.hud.gov/program_offices/housing/comp/asset/hsgloan</t>
        </is>
      </c>
      <c r="J98" s="11" t="n"/>
      <c r="K98" s="11" t="n"/>
      <c r="L98" s="11" t="n"/>
      <c r="M98" s="11" t="n"/>
      <c r="N98" s="11" t="n"/>
      <c r="O98" s="11" t="n"/>
      <c r="P98" s="11" t="n"/>
      <c r="Q98" s="11" t="n"/>
      <c r="R98" s="11" t="n"/>
      <c r="S98" s="23" t="inlineStr">
        <is>
          <t>Not income-tested</t>
        </is>
      </c>
      <c r="T98" s="23" t="inlineStr">
        <is>
          <t>National Housing Act (FHA &amp; mortgage insurance)</t>
        </is>
      </c>
      <c r="U98" s="23" t="inlineStr">
        <is>
          <t>—</t>
        </is>
      </c>
      <c r="V98" s="23" t="inlineStr">
        <is>
          <t>N/A</t>
        </is>
      </c>
      <c r="W98" s="23" t="inlineStr">
        <is>
          <t>N/A</t>
        </is>
      </c>
      <c r="X98" s="23" t="inlineStr">
        <is>
          <t>Not applicable</t>
        </is>
      </c>
      <c r="Y98" s="23" t="inlineStr">
        <is>
          <t>Not applicable</t>
        </is>
      </c>
      <c r="Z98" s="23">
        <f>IF(X98="","",IF(X98="Excluded","Consistent",IF(X98="Counted","Inconsistent",IF(X98="Varies (grantee/agency choice)","Partly inconsistent",IF(X98="Not applicable","Not applicable","Needs check")))))</f>
        <v/>
      </c>
      <c r="AA98" s="23" t="inlineStr">
        <is>
          <t>No household income eligibility test: sales of defaulted FHA-insured loans.</t>
        </is>
      </c>
      <c r="AB98" s="23" t="inlineStr">
        <is>
          <t>Not a means-tested household benefit.</t>
        </is>
      </c>
      <c r="AC98" s="23" t="n"/>
      <c r="AD98" s="23" t="inlineStr">
        <is>
          <t>Not verified — low risk (not income-tested)</t>
        </is>
      </c>
    </row>
    <row r="99" ht="57.75" customHeight="1">
      <c r="A99" s="18" t="n">
        <v>41</v>
      </c>
      <c r="B99" s="19" t="inlineStr">
        <is>
          <t>Mark-to-Market Program (M2M)</t>
        </is>
      </c>
      <c r="C99" s="11" t="n"/>
      <c r="D99" s="19" t="inlineStr">
        <is>
          <t>Office of Housing — Multifamily Housing Programs</t>
        </is>
      </c>
      <c r="E99" s="11" t="n"/>
      <c r="F99" s="19" t="inlineStr">
        <is>
          <t>Preserves long-term low-income housing affordability by restructuring FHA-insured or HUDheld mortgages for eligible multifamily housing projects and renewing the project’s Section 8 contract.</t>
        </is>
      </c>
      <c r="G99" s="19" t="inlineStr">
        <is>
          <t>Multifamily Assisted Housing Reform and Affordability Act of 1997 (42 U.S.C. 1437f note).</t>
        </is>
      </c>
      <c r="H99" s="19" t="inlineStr">
        <is>
          <t>Regulations are at 24 CFR part 401.</t>
        </is>
      </c>
      <c r="I99" s="21" t="inlineStr">
        <is>
          <t>https://www.hud.gov/program_offices/housing/mfh/presrv/presmfh/aboutm2m</t>
        </is>
      </c>
      <c r="J99" s="11" t="n"/>
      <c r="K99" s="11" t="n"/>
      <c r="L99" s="11" t="n"/>
      <c r="M99" s="11" t="n"/>
      <c r="N99" s="11" t="n"/>
      <c r="O99" s="11" t="n"/>
      <c r="P99" s="11" t="n"/>
      <c r="Q99" s="11" t="n"/>
      <c r="R99" s="11" t="n"/>
      <c r="S99" s="23" t="inlineStr">
        <is>
          <t>Not income-tested</t>
        </is>
      </c>
      <c r="T99" s="23" t="inlineStr">
        <is>
          <t>U.S. Housing Act of 1937 (public housing &amp; Section 8)</t>
        </is>
      </c>
      <c r="U99" s="23" t="inlineStr">
        <is>
          <t>MAHRAA 1997</t>
        </is>
      </c>
      <c r="V99" s="23" t="inlineStr">
        <is>
          <t>N/A</t>
        </is>
      </c>
      <c r="W99" s="23" t="inlineStr">
        <is>
          <t>N/A</t>
        </is>
      </c>
      <c r="X99" s="23" t="inlineStr">
        <is>
          <t>Not applicable</t>
        </is>
      </c>
      <c r="Y99" s="23" t="inlineStr">
        <is>
          <t>Not applicable</t>
        </is>
      </c>
      <c r="Z99" s="23">
        <f>IF(X99="","",IF(X99="Excluded","Consistent",IF(X99="Counted","Inconsistent",IF(X99="Varies (grantee/agency choice)","Partly inconsistent",IF(X99="Not applicable","Not applicable","Needs check")))))</f>
        <v/>
      </c>
      <c r="AA99" s="23" t="inlineStr">
        <is>
          <t>No household income eligibility test: restructuring of Section 8 project mortgages; tenants remain under PBRA (Part 5).</t>
        </is>
      </c>
      <c r="AB99" s="23" t="inlineStr">
        <is>
          <t>Not a means-tested household benefit.</t>
        </is>
      </c>
      <c r="AC99" s="23" t="n"/>
      <c r="AD99" s="23" t="inlineStr">
        <is>
          <t>Not verified — low risk (not income-tested)</t>
        </is>
      </c>
    </row>
    <row r="100" ht="57.75" customHeight="1">
      <c r="A100" s="18" t="n">
        <v>57</v>
      </c>
      <c r="B100" s="19" t="inlineStr">
        <is>
          <t>Book-Rich Environments Initiative</t>
        </is>
      </c>
      <c r="C100" s="11" t="n"/>
      <c r="D100" s="19" t="inlineStr">
        <is>
          <t>Public and Indian Housing (PIH) — Public Housing Programs</t>
        </is>
      </c>
      <c r="E100" s="11" t="n"/>
      <c r="F100" s="19" t="inlineStr">
        <is>
          <t>Collaboration aimed to transform public housing agencies (PHAs) into book-rich environments by providing diverse, high-quality books and other literacy tools to children and families living in HUD-assisted housing.</t>
        </is>
      </c>
      <c r="G100" s="19" t="inlineStr">
        <is>
          <t>Section 501 of the Housing and Urban Development Act of 1970 (12 U.S.C. 1701z-1).</t>
        </is>
      </c>
      <c r="H100" s="19" t="n"/>
      <c r="I100" s="21" t="inlineStr">
        <is>
          <t>https://www.hud.gov/program_offices/public_indian_housing/bre</t>
        </is>
      </c>
      <c r="J100" s="11" t="n"/>
      <c r="K100" s="11" t="n"/>
      <c r="L100" s="11" t="n"/>
      <c r="M100" s="11" t="n"/>
      <c r="N100" s="11" t="n"/>
      <c r="O100" s="11" t="n"/>
      <c r="P100" s="11" t="n"/>
      <c r="Q100" s="11" t="n"/>
      <c r="R100" s="11" t="n"/>
      <c r="S100" s="23" t="inlineStr">
        <is>
          <t>Not income-tested</t>
        </is>
      </c>
      <c r="T100" s="23" t="inlineStr">
        <is>
          <t>Other statutes &amp; appropriations</t>
        </is>
      </c>
      <c r="U100" s="23" t="inlineStr">
        <is>
          <t>—</t>
        </is>
      </c>
      <c r="V100" s="23" t="inlineStr">
        <is>
          <t>N/A</t>
        </is>
      </c>
      <c r="W100" s="23" t="inlineStr">
        <is>
          <t>N/A</t>
        </is>
      </c>
      <c r="X100" s="23" t="inlineStr">
        <is>
          <t>Not applicable</t>
        </is>
      </c>
      <c r="Y100" s="23" t="inlineStr">
        <is>
          <t>Not applicable</t>
        </is>
      </c>
      <c r="Z100" s="23">
        <f>IF(X100="","",IF(X100="Excluded","Consistent",IF(X100="Counted","Inconsistent",IF(X100="Varies (grantee/agency choice)","Partly inconsistent",IF(X100="Not applicable","Not applicable","Needs check")))))</f>
        <v/>
      </c>
      <c r="AA100" s="23" t="inlineStr">
        <is>
          <t>No household income eligibility test: literacy initiative for public housing residents.</t>
        </is>
      </c>
      <c r="AB100" s="23" t="inlineStr">
        <is>
          <t>Not a means-tested household benefit.</t>
        </is>
      </c>
      <c r="AC100" s="23" t="n"/>
      <c r="AD100" s="23" t="inlineStr">
        <is>
          <t>Not verified — low risk (not income-tested)</t>
        </is>
      </c>
    </row>
    <row r="101" ht="57.75" customHeight="1">
      <c r="A101" s="18" t="n">
        <v>59</v>
      </c>
      <c r="B101" s="19" t="inlineStr">
        <is>
          <t>ConnectHomeUSA</t>
        </is>
      </c>
      <c r="C101" s="11" t="n"/>
      <c r="D101" s="19" t="inlineStr">
        <is>
          <t>Public and Indian Housing (PIH) — Public Housing Programs</t>
        </is>
      </c>
      <c r="E101" s="11" t="n"/>
      <c r="F101" s="19" t="inlineStr">
        <is>
          <t>Platform for public-private collaboration to improve educational, employment, and health outcomes of HUD-assisted households by narrowing the digital divide.</t>
        </is>
      </c>
      <c r="G101" s="19" t="inlineStr">
        <is>
          <t>Section 501 of the Housing and Urban Development Act of 1970 (12 U.S.C. 1701z-1); notice published in the Federal Register on April 3, 2015, at 80 FR 18248.</t>
        </is>
      </c>
      <c r="H101" s="19" t="n"/>
      <c r="I101" s="19" t="n"/>
      <c r="J101" s="11" t="n"/>
      <c r="K101" s="11" t="n"/>
      <c r="L101" s="11" t="n"/>
      <c r="M101" s="11" t="n"/>
      <c r="N101" s="11" t="n"/>
      <c r="O101" s="11" t="n"/>
      <c r="P101" s="11" t="n"/>
      <c r="Q101" s="11" t="n"/>
      <c r="R101" s="11" t="n"/>
      <c r="S101" s="23" t="inlineStr">
        <is>
          <t>Not income-tested</t>
        </is>
      </c>
      <c r="T101" s="23" t="inlineStr">
        <is>
          <t>Other statutes &amp; appropriations</t>
        </is>
      </c>
      <c r="U101" s="23" t="inlineStr">
        <is>
          <t>—</t>
        </is>
      </c>
      <c r="V101" s="23" t="inlineStr">
        <is>
          <t>N/A</t>
        </is>
      </c>
      <c r="W101" s="23" t="inlineStr">
        <is>
          <t>N/A</t>
        </is>
      </c>
      <c r="X101" s="23" t="inlineStr">
        <is>
          <t>Not applicable</t>
        </is>
      </c>
      <c r="Y101" s="23" t="inlineStr">
        <is>
          <t>Not applicable</t>
        </is>
      </c>
      <c r="Z101" s="23">
        <f>IF(X101="","",IF(X101="Excluded","Consistent",IF(X101="Counted","Inconsistent",IF(X101="Varies (grantee/agency choice)","Partly inconsistent",IF(X101="Not applicable","Not applicable","Needs check")))))</f>
        <v/>
      </c>
      <c r="AA101" s="23" t="inlineStr">
        <is>
          <t>No household income eligibility test: broadband access initiative for assisted housing residents.</t>
        </is>
      </c>
      <c r="AB101" s="23" t="inlineStr">
        <is>
          <t>Not a means-tested household benefit.</t>
        </is>
      </c>
      <c r="AC101" s="23" t="n"/>
      <c r="AD101" s="23" t="inlineStr">
        <is>
          <t>Not verified — low risk (not income-tested)</t>
        </is>
      </c>
    </row>
    <row r="102" ht="84.75" customHeight="1">
      <c r="A102" s="18" t="n">
        <v>66</v>
      </c>
      <c r="B102" s="19" t="inlineStr">
        <is>
          <t>Project-Based Voucher Program</t>
        </is>
      </c>
      <c r="C102" s="11" t="n"/>
      <c r="D102" s="19" t="inlineStr">
        <is>
          <t>Public and Indian Housing (PIH) — Public Housing Programs</t>
        </is>
      </c>
      <c r="E102" s="11" t="n"/>
      <c r="F102" s="19" t="inlineStr">
        <is>
          <t>Rental assistance for eligible families who live in specific housing developments or units.</t>
        </is>
      </c>
      <c r="G102" s="19" t="inlineStr">
        <is>
          <t>Section 8(o)(13) of the United States Housing Act of 1937 (42 U.S.C. 1437f(o)(13)).</t>
        </is>
      </c>
      <c r="H102" s="19" t="inlineStr">
        <is>
          <t>Regulations are at 24 CFR part 983.</t>
        </is>
      </c>
      <c r="I102" s="21" t="inlineStr">
        <is>
          <t>https://www.hud.gov/program_offices/public_indian_housing/programs/hcv/project</t>
        </is>
      </c>
      <c r="J102" s="11" t="n"/>
      <c r="K102" s="11" t="n"/>
      <c r="L102" s="11" t="n"/>
      <c r="M102" s="11" t="n"/>
      <c r="N102" s="11" t="n"/>
      <c r="O102" s="11" t="n"/>
      <c r="P102" s="11" t="n"/>
      <c r="Q102" s="11" t="n"/>
      <c r="R102" s="11" t="n"/>
      <c r="S102" s="23" t="inlineStr">
        <is>
          <t>Household income test</t>
        </is>
      </c>
      <c r="T102" s="23" t="inlineStr">
        <is>
          <t>U.S. Housing Act of 1937 (public housing &amp; Section 8)</t>
        </is>
      </c>
      <c r="U102" s="23" t="inlineStr">
        <is>
          <t>42 U.S.C. 1437f(o)(13); 24 CFR part 983; 24 CFR 5.609</t>
        </is>
      </c>
      <c r="V102" s="23" t="inlineStr">
        <is>
          <t>Part 5 annual income (24 CFR 5.609)</t>
        </is>
      </c>
      <c r="W102" s="23" t="inlineStr">
        <is>
          <t>Mandatory</t>
        </is>
      </c>
      <c r="X102" s="23" t="inlineStr">
        <is>
          <t>Counted</t>
        </is>
      </c>
      <c r="Y102" s="23" t="inlineStr">
        <is>
          <t>Counted</t>
        </is>
      </c>
      <c r="Z102" s="23">
        <f>IF(X102="","",IF(X102="Excluded","Consistent",IF(X102="Counted","Inconsistent",IF(X102="Varies (grantee/agency choice)","Partly inconsistent",IF(X102="Not applicable","Not applicable","Needs check")))))</f>
        <v/>
      </c>
      <c r="AA102" s="23" t="inlineStr">
        <is>
          <t>Current VA service-connected disability compensation is not among the 24 CFR 5.609(b) exclusions, so it is annual income. Only deferred VA disability amounts received as a lump sum or prospective monthly amounts (5.609(b)(16)) and aid &amp; attendance under 38 U.S.C. 1521 (5.609(b)(17)) are excluded; the statute (42 U.S.C. 1437a(b)(4)(B)(iii), (vi)) mirrors this.</t>
        </is>
      </c>
      <c r="AB102" s="23" t="inlineStr">
        <is>
          <t>The 1937 Act itself defines 'income' as income from all sources minus enumerated exclusions; HUD implements it uniformly through Part 5 because these programs set ongoing tenant rent from adjusted income (5.611).</t>
        </is>
      </c>
      <c r="AC102" s="23" t="inlineStr">
        <is>
          <t>Exception: HUD-VASH PBV units follow the HUD-VASH rule (see supplemental row).</t>
        </is>
      </c>
      <c r="AD102" s="23" t="inlineStr">
        <is>
          <t>Verified — primary source</t>
        </is>
      </c>
    </row>
    <row r="103" ht="84.75" customHeight="1">
      <c r="A103" s="18" t="n">
        <v>68</v>
      </c>
      <c r="B103" s="19" t="inlineStr">
        <is>
          <t>Public Housing Homeownership (Section 32)</t>
        </is>
      </c>
      <c r="C103" s="11" t="n"/>
      <c r="D103" s="19" t="inlineStr">
        <is>
          <t>Public and Indian Housing (PIH) — Public Housing Programs</t>
        </is>
      </c>
      <c r="E103" s="11" t="n"/>
      <c r="F103" s="19" t="inlineStr">
        <is>
          <t>Sale of public housing units to low-income families.</t>
        </is>
      </c>
      <c r="G103" s="19" t="inlineStr">
        <is>
          <t>Section 32 of the United States Housing Act of 1937 (42 U.S.C. 1437z-4).</t>
        </is>
      </c>
      <c r="H103" s="19" t="inlineStr">
        <is>
          <t>Regulations are at 24 CFR part 906.</t>
        </is>
      </c>
      <c r="I103" s="21" t="inlineStr">
        <is>
          <t>https://www.hud.gov/program_offices/public_indian_housing/centers/sac/homeownership/</t>
        </is>
      </c>
      <c r="J103" s="11" t="n"/>
      <c r="K103" s="11" t="n"/>
      <c r="L103" s="11" t="n"/>
      <c r="M103" s="11" t="n"/>
      <c r="N103" s="11" t="n"/>
      <c r="O103" s="11" t="n"/>
      <c r="P103" s="11" t="n"/>
      <c r="Q103" s="11" t="n"/>
      <c r="R103" s="11" t="n"/>
      <c r="S103" s="23" t="inlineStr">
        <is>
          <t>Household income test</t>
        </is>
      </c>
      <c r="T103" s="23" t="inlineStr">
        <is>
          <t>U.S. Housing Act of 1937 (public housing &amp; Section 8)</t>
        </is>
      </c>
      <c r="U103" s="23" t="inlineStr">
        <is>
          <t>42 U.S.C. 1437z-4 (Section 32); 24 CFR part 906; 1937 Act low-income definition</t>
        </is>
      </c>
      <c r="V103" s="23" t="inlineStr">
        <is>
          <t>Part 5 annual income (24 CFR 5.609)</t>
        </is>
      </c>
      <c r="W103" s="23" t="inlineStr">
        <is>
          <t>Mandatory</t>
        </is>
      </c>
      <c r="X103" s="23" t="inlineStr">
        <is>
          <t>Counted</t>
        </is>
      </c>
      <c r="Y103" s="23" t="inlineStr">
        <is>
          <t>Not applicable</t>
        </is>
      </c>
      <c r="Z103" s="23">
        <f>IF(X103="","",IF(X103="Excluded","Consistent",IF(X103="Counted","Inconsistent",IF(X103="Varies (grantee/agency choice)","Partly inconsistent",IF(X103="Not applicable","Not applicable","Needs check")))))</f>
        <v/>
      </c>
      <c r="AA103" s="23" t="inlineStr">
        <is>
          <t>Current VA service-connected disability compensation is not among the 24 CFR 5.609(b) exclusions, so it is annual income. Only deferred VA disability amounts received as a lump sum or prospective monthly amounts (5.609(b)(16)) and aid &amp; attendance under 38 U.S.C. 1521 (5.609(b)(17)) are excluded; the statute (42 U.S.C. 1437a(b)(4)(B)(iii), (vi)) mirrors this.</t>
        </is>
      </c>
      <c r="AB103" s="23" t="inlineStr">
        <is>
          <t>The 1937 Act itself defines 'income' as income from all sources minus enumerated exclusions; HUD implements it uniformly through Part 5 because these programs set ongoing tenant rent from adjusted income (5.611).</t>
        </is>
      </c>
      <c r="AC103" s="23" t="inlineStr">
        <is>
          <t>Purchasers must be low-income families under the 1937 Act; use of Part 5 for the determination inferred, not verified. Rent N/A (homeownership).</t>
        </is>
      </c>
      <c r="AD103" s="23" t="inlineStr">
        <is>
          <t>Partly verified</t>
        </is>
      </c>
    </row>
    <row r="104" ht="71.25" customHeight="1">
      <c r="A104" s="18" t="n">
        <v>77</v>
      </c>
      <c r="B104" s="19" t="inlineStr">
        <is>
          <t>Equal Opportunity and Nondiscrimination Requirements for HUD-Assisted Programs (Title VI, Section 504, Americans with Disabilities Act, Section 109, Age Discrimination Act, and Title IX)</t>
        </is>
      </c>
      <c r="C104" s="11" t="n"/>
      <c r="D104" s="19" t="inlineStr">
        <is>
          <t>Fair Housing and Equal Opportunity</t>
        </is>
      </c>
      <c r="E104" s="11" t="n"/>
      <c r="F104" s="19" t="inlineStr">
        <is>
          <t>(Title VI, Section 504, Americans with Disabilities Act, Section 109, Age Discrimination Act, and Title IX) Prohibits discrimination and requires equal opportunity to participate in and benefit from HUDassisted programs or activities.</t>
        </is>
      </c>
      <c r="G104" s="19" t="n"/>
      <c r="H104" s="19" t="n"/>
      <c r="I104" s="21" t="inlineStr">
        <is>
          <t>https://www.hud.gov/program_offices/fair_housing_equal_opp</t>
        </is>
      </c>
      <c r="J104" s="11" t="n"/>
      <c r="K104" s="11" t="n"/>
      <c r="L104" s="11" t="n"/>
      <c r="M104" s="11" t="n"/>
      <c r="N104" s="11" t="n"/>
      <c r="O104" s="11" t="n"/>
      <c r="P104" s="11" t="n"/>
      <c r="Q104" s="11" t="n"/>
      <c r="R104" s="11" t="n"/>
      <c r="S104" s="23" t="inlineStr">
        <is>
          <t>Not income-tested</t>
        </is>
      </c>
      <c r="T104" s="23" t="inlineStr">
        <is>
          <t>Other statutes &amp; appropriations</t>
        </is>
      </c>
      <c r="U104" s="23" t="inlineStr">
        <is>
          <t>—</t>
        </is>
      </c>
      <c r="V104" s="23" t="inlineStr">
        <is>
          <t>N/A</t>
        </is>
      </c>
      <c r="W104" s="23" t="inlineStr">
        <is>
          <t>N/A</t>
        </is>
      </c>
      <c r="X104" s="23" t="inlineStr">
        <is>
          <t>Not applicable</t>
        </is>
      </c>
      <c r="Y104" s="23" t="inlineStr">
        <is>
          <t>Not applicable</t>
        </is>
      </c>
      <c r="Z104" s="23">
        <f>IF(X104="","",IF(X104="Excluded","Consistent",IF(X104="Counted","Inconsistent",IF(X104="Varies (grantee/agency choice)","Partly inconsistent",IF(X104="Not applicable","Not applicable","Needs check")))))</f>
        <v/>
      </c>
      <c r="AA104" s="23" t="inlineStr">
        <is>
          <t>No household income eligibility test: civil-rights requirements.</t>
        </is>
      </c>
      <c r="AB104" s="23" t="inlineStr">
        <is>
          <t>Not a means-tested household benefit.</t>
        </is>
      </c>
      <c r="AC104" s="23" t="n"/>
      <c r="AD104" s="23" t="inlineStr">
        <is>
          <t>Not verified — low risk (not income-tested)</t>
        </is>
      </c>
    </row>
    <row r="105" ht="71.25" customHeight="1">
      <c r="A105" s="18" t="n">
        <v>80</v>
      </c>
      <c r="B105" s="19" t="inlineStr">
        <is>
          <t>Fair Housing Act (Title VIII)</t>
        </is>
      </c>
      <c r="C105" s="11" t="n"/>
      <c r="D105" s="19" t="inlineStr">
        <is>
          <t>Fair Housing and Equal Opportunity</t>
        </is>
      </c>
      <c r="E105" s="11" t="n"/>
      <c r="F105" s="19" t="inlineStr">
        <is>
          <t>Prohibits discrimination in housing and real estate-related transactions and includes an affirmative obligation to administer all federal programs relating to housing and urban development in a manner that affirmatively furthers fair housing.</t>
        </is>
      </c>
      <c r="G105" s="19" t="inlineStr">
        <is>
          <t>Title VIII of the Civil Rights Act of 1968 (42 U.S.C. 3601 et seq.).</t>
        </is>
      </c>
      <c r="H105" s="19" t="inlineStr">
        <is>
          <t>Regulations are at 24 CFR parts 5, 100, 103, and 180.</t>
        </is>
      </c>
      <c r="I105" s="21" t="inlineStr">
        <is>
          <t>https://www.hud.gov/program_offices/fair_housing_equal_opp/fair_housing_act_overview</t>
        </is>
      </c>
      <c r="J105" s="11" t="n"/>
      <c r="K105" s="11" t="n"/>
      <c r="L105" s="11" t="n"/>
      <c r="M105" s="11" t="n"/>
      <c r="N105" s="11" t="n"/>
      <c r="O105" s="11" t="n"/>
      <c r="P105" s="11" t="n"/>
      <c r="Q105" s="11" t="n"/>
      <c r="R105" s="11" t="n"/>
      <c r="S105" s="23" t="inlineStr">
        <is>
          <t>Not income-tested</t>
        </is>
      </c>
      <c r="T105" s="23" t="inlineStr">
        <is>
          <t>Other statutes &amp; appropriations</t>
        </is>
      </c>
      <c r="U105" s="23" t="inlineStr">
        <is>
          <t>—</t>
        </is>
      </c>
      <c r="V105" s="23" t="inlineStr">
        <is>
          <t>N/A</t>
        </is>
      </c>
      <c r="W105" s="23" t="inlineStr">
        <is>
          <t>N/A</t>
        </is>
      </c>
      <c r="X105" s="23" t="inlineStr">
        <is>
          <t>Not applicable</t>
        </is>
      </c>
      <c r="Y105" s="23" t="inlineStr">
        <is>
          <t>Not applicable</t>
        </is>
      </c>
      <c r="Z105" s="23">
        <f>IF(X105="","",IF(X105="Excluded","Consistent",IF(X105="Counted","Inconsistent",IF(X105="Varies (grantee/agency choice)","Partly inconsistent",IF(X105="Not applicable","Not applicable","Needs check")))))</f>
        <v/>
      </c>
      <c r="AA105" s="23" t="inlineStr">
        <is>
          <t>No household income eligibility test: civil-rights law.</t>
        </is>
      </c>
      <c r="AB105" s="23" t="inlineStr">
        <is>
          <t>Not a means-tested household benefit.</t>
        </is>
      </c>
      <c r="AC105" s="23" t="n"/>
      <c r="AD105" s="23" t="inlineStr">
        <is>
          <t>Not verified — low risk (not income-tested)</t>
        </is>
      </c>
    </row>
    <row r="106" ht="71.25" customHeight="1">
      <c r="A106" s="18" t="n">
        <v>87</v>
      </c>
      <c r="B106" s="19" t="inlineStr">
        <is>
          <t>Distressed Cities and Persistent Poverty Technical Assistance (DCTA) Program</t>
        </is>
      </c>
      <c r="C106" s="11" t="n"/>
      <c r="D106" s="19" t="inlineStr">
        <is>
          <t>Policy Development and Research (PD&amp;R)</t>
        </is>
      </c>
      <c r="E106" s="11" t="n"/>
      <c r="F106" s="19" t="inlineStr">
        <is>
          <t>Builds the capacity of units of general local government (local governments) experiencing economic distress and assists local governments and their nonprofit partners in alleviating persistent poverty in specific areas (census tracts).</t>
        </is>
      </c>
      <c r="G106" s="19" t="inlineStr">
        <is>
          <t>Authorized by annual Appropriations Acts, most recently by the Consolidated Appropriations Act,2024 (Public Law 118-42, approved March 9, 2024).</t>
        </is>
      </c>
      <c r="H106" s="19" t="n"/>
      <c r="I106" s="21" t="inlineStr">
        <is>
          <t>https://www.huduser.gov/portal/ota/distressed-cities-and-persistant-poverty-taprogram.html</t>
        </is>
      </c>
      <c r="J106" s="11" t="n"/>
      <c r="K106" s="11" t="n"/>
      <c r="L106" s="11" t="n"/>
      <c r="M106" s="11" t="n"/>
      <c r="N106" s="11" t="n"/>
      <c r="O106" s="11" t="n"/>
      <c r="P106" s="11" t="n"/>
      <c r="Q106" s="11" t="n"/>
      <c r="R106" s="11" t="n"/>
      <c r="S106" s="23" t="inlineStr">
        <is>
          <t>Not income-tested</t>
        </is>
      </c>
      <c r="T106" s="23" t="inlineStr">
        <is>
          <t>Other statutes &amp; appropriations</t>
        </is>
      </c>
      <c r="U106" s="23" t="inlineStr">
        <is>
          <t>—</t>
        </is>
      </c>
      <c r="V106" s="23" t="inlineStr">
        <is>
          <t>N/A</t>
        </is>
      </c>
      <c r="W106" s="23" t="inlineStr">
        <is>
          <t>N/A</t>
        </is>
      </c>
      <c r="X106" s="23" t="inlineStr">
        <is>
          <t>Not applicable</t>
        </is>
      </c>
      <c r="Y106" s="23" t="inlineStr">
        <is>
          <t>Not applicable</t>
        </is>
      </c>
      <c r="Z106" s="23">
        <f>IF(X106="","",IF(X106="Excluded","Consistent",IF(X106="Counted","Inconsistent",IF(X106="Varies (grantee/agency choice)","Partly inconsistent",IF(X106="Not applicable","Not applicable","Needs check")))))</f>
        <v/>
      </c>
      <c r="AA106" s="23" t="inlineStr">
        <is>
          <t>No household income eligibility test: technical assistance to local governments.</t>
        </is>
      </c>
      <c r="AB106" s="23" t="inlineStr">
        <is>
          <t>Not a means-tested household benefit.</t>
        </is>
      </c>
      <c r="AC106" s="23" t="n"/>
      <c r="AD106" s="23" t="inlineStr">
        <is>
          <t>Not verified — low risk (not income-tested)</t>
        </is>
      </c>
    </row>
    <row r="107" ht="57.75" customHeight="1">
      <c r="A107" s="18" t="n">
        <v>88</v>
      </c>
      <c r="B107" s="19" t="inlineStr">
        <is>
          <t>Thriving Communities Technical Assistance Program</t>
        </is>
      </c>
      <c r="C107" s="11" t="n"/>
      <c r="D107" s="19" t="inlineStr">
        <is>
          <t>Policy Development and Research (PD&amp;R)</t>
        </is>
      </c>
      <c r="E107" s="11" t="n"/>
      <c r="F107" s="19" t="inlineStr">
        <is>
          <t>Helps local governments ensure housing needs are considered as part of their larger infrastructure investment plans and supports equitable development in disadvantaged communities.</t>
        </is>
      </c>
      <c r="G107" s="19" t="inlineStr">
        <is>
          <t>Authorized by annual Appropriations Acts, most recently by the Consolidated Appropriations Act, 2024 (Public Law 118-42, approved March 9, 2024).</t>
        </is>
      </c>
      <c r="H107" s="19" t="n"/>
      <c r="I107" s="21" t="inlineStr">
        <is>
          <t>https://www.huduser.gov/portal/ota/thriving-communities-ta-program.html</t>
        </is>
      </c>
      <c r="J107" s="11" t="n"/>
      <c r="K107" s="11" t="n"/>
      <c r="L107" s="11" t="n"/>
      <c r="M107" s="11" t="n"/>
      <c r="N107" s="11" t="n"/>
      <c r="O107" s="11" t="n"/>
      <c r="P107" s="11" t="n"/>
      <c r="Q107" s="11" t="n"/>
      <c r="R107" s="11" t="n"/>
      <c r="S107" s="23" t="inlineStr">
        <is>
          <t>Not income-tested</t>
        </is>
      </c>
      <c r="T107" s="23" t="inlineStr">
        <is>
          <t>Other statutes &amp; appropriations</t>
        </is>
      </c>
      <c r="U107" s="23" t="inlineStr">
        <is>
          <t>—</t>
        </is>
      </c>
      <c r="V107" s="23" t="inlineStr">
        <is>
          <t>N/A</t>
        </is>
      </c>
      <c r="W107" s="23" t="inlineStr">
        <is>
          <t>N/A</t>
        </is>
      </c>
      <c r="X107" s="23" t="inlineStr">
        <is>
          <t>Not applicable</t>
        </is>
      </c>
      <c r="Y107" s="23" t="inlineStr">
        <is>
          <t>Not applicable</t>
        </is>
      </c>
      <c r="Z107" s="23">
        <f>IF(X107="","",IF(X107="Excluded","Consistent",IF(X107="Counted","Inconsistent",IF(X107="Varies (grantee/agency choice)","Partly inconsistent",IF(X107="Not applicable","Not applicable","Needs check")))))</f>
        <v/>
      </c>
      <c r="AA107" s="23" t="inlineStr">
        <is>
          <t>No household income eligibility test: technical assistance to local governments.</t>
        </is>
      </c>
      <c r="AB107" s="23" t="inlineStr">
        <is>
          <t>Not a means-tested household benefit.</t>
        </is>
      </c>
      <c r="AC107" s="23" t="n"/>
      <c r="AD107" s="23" t="inlineStr">
        <is>
          <t>Not verified — low risk (not income-tested)</t>
        </is>
      </c>
    </row>
    <row r="108" ht="84.75" customHeight="1">
      <c r="A108" s="18" t="n">
        <v>90</v>
      </c>
      <c r="B108" s="19" t="inlineStr">
        <is>
          <t>Davis-Bacon and Labor Standards</t>
        </is>
      </c>
      <c r="C108" s="11" t="n"/>
      <c r="D108" s="19" t="inlineStr">
        <is>
          <t>Field Policy and Management (FPM)</t>
        </is>
      </c>
      <c r="E108" s="11" t="n"/>
      <c r="F108" s="19" t="inlineStr">
        <is>
          <t>Oversight of administration and enforcement of Federal labor standards provisions in HUD programs.</t>
        </is>
      </c>
      <c r="G108" s="19" t="inlineStr">
        <is>
          <t>Davis-Bacon Act (40 U.S.C. 3141, et seq.); Fair Labor Standards Act of 1938 (29 U.S.C. 201, et seq.); Contract Work Hours and Safety Standards Act (40 U.S.C. 3701, et seq.); Copeland Anti-Kickback Act (18 U.S.C. 874; 40 U.S.C. 3145).</t>
        </is>
      </c>
      <c r="H108" s="19" t="n"/>
      <c r="I108" s="21" t="inlineStr">
        <is>
          <t>https://www.hud.gov/program_offices/davis_bacon_and_labor_standards</t>
        </is>
      </c>
      <c r="J108" s="11" t="n"/>
      <c r="K108" s="11" t="n"/>
      <c r="L108" s="11" t="n"/>
      <c r="M108" s="11" t="n"/>
      <c r="N108" s="11" t="n"/>
      <c r="O108" s="11" t="n"/>
      <c r="P108" s="11" t="n"/>
      <c r="Q108" s="11" t="n"/>
      <c r="R108" s="11" t="n"/>
      <c r="S108" s="23" t="inlineStr">
        <is>
          <t>Not income-tested</t>
        </is>
      </c>
      <c r="T108" s="23" t="inlineStr">
        <is>
          <t>Other statutes &amp; appropriations</t>
        </is>
      </c>
      <c r="U108" s="23" t="inlineStr">
        <is>
          <t>—</t>
        </is>
      </c>
      <c r="V108" s="23" t="inlineStr">
        <is>
          <t>N/A</t>
        </is>
      </c>
      <c r="W108" s="23" t="inlineStr">
        <is>
          <t>N/A</t>
        </is>
      </c>
      <c r="X108" s="23" t="inlineStr">
        <is>
          <t>Not applicable</t>
        </is>
      </c>
      <c r="Y108" s="23" t="inlineStr">
        <is>
          <t>Not applicable</t>
        </is>
      </c>
      <c r="Z108" s="23">
        <f>IF(X108="","",IF(X108="Excluded","Consistent",IF(X108="Counted","Inconsistent",IF(X108="Varies (grantee/agency choice)","Partly inconsistent",IF(X108="Not applicable","Not applicable","Needs check")))))</f>
        <v/>
      </c>
      <c r="AA108" s="23" t="inlineStr">
        <is>
          <t>No household income eligibility test: labor standards.</t>
        </is>
      </c>
      <c r="AB108" s="23" t="inlineStr">
        <is>
          <t>Not a means-tested household benefit.</t>
        </is>
      </c>
      <c r="AC108" s="23" t="n"/>
      <c r="AD108" s="23" t="inlineStr">
        <is>
          <t>Not verified — low risk (not income-tested)</t>
        </is>
      </c>
    </row>
    <row r="109" ht="44.25" customHeight="1">
      <c r="A109" s="18" t="n">
        <v>91</v>
      </c>
      <c r="B109" s="19" t="inlineStr">
        <is>
          <t>Economic Opportunities for Low- and Very-Low Income Persons (Section 3)</t>
        </is>
      </c>
      <c r="C109" s="11" t="n"/>
      <c r="D109" s="19" t="inlineStr">
        <is>
          <t>Field Policy and Management (FPM)</t>
        </is>
      </c>
      <c r="E109" s="11" t="n"/>
      <c r="F109" s="19" t="inlineStr">
        <is>
          <t>Fosters local economic development, job opportunities, and self-sufficiency.</t>
        </is>
      </c>
      <c r="G109" s="19" t="inlineStr">
        <is>
          <t>Section 3 of the Housing and Urban Development Act of 1968 (12 U.S.C. 1701u).</t>
        </is>
      </c>
      <c r="H109" s="19" t="inlineStr">
        <is>
          <t>Regulations are at 24 CFR part 75.</t>
        </is>
      </c>
      <c r="I109" s="21" t="inlineStr">
        <is>
          <t>https://www.hud.gov/section3</t>
        </is>
      </c>
      <c r="J109" s="11" t="n"/>
      <c r="K109" s="11" t="n"/>
      <c r="L109" s="11" t="n"/>
      <c r="M109" s="11" t="n"/>
      <c r="N109" s="11" t="n"/>
      <c r="O109" s="11" t="n"/>
      <c r="P109" s="11" t="n"/>
      <c r="Q109" s="11" t="n"/>
      <c r="R109" s="11" t="n"/>
      <c r="S109" s="23" t="inlineStr">
        <is>
          <t>Household income test</t>
        </is>
      </c>
      <c r="T109" s="23" t="inlineStr">
        <is>
          <t>Other statutes &amp; appropriations</t>
        </is>
      </c>
      <c r="U109" s="23" t="inlineStr">
        <is>
          <t>HUD Act of 1968 §3 (12 U.S.C. 1701u); 24 CFR part 75</t>
        </is>
      </c>
      <c r="V109" s="23" t="inlineStr">
        <is>
          <t>1937 Act income limits; determination method set in part 75</t>
        </is>
      </c>
      <c r="W109" s="23" t="inlineStr">
        <is>
          <t>N/A</t>
        </is>
      </c>
      <c r="X109" s="23" t="inlineStr">
        <is>
          <t>Unclear / needs check</t>
        </is>
      </c>
      <c r="Y109" s="23" t="inlineStr">
        <is>
          <t>Not applicable</t>
        </is>
      </c>
      <c r="Z109" s="23">
        <f>IF(X109="","",IF(X109="Excluded","Consistent",IF(X109="Counted","Inconsistent",IF(X109="Varies (grantee/agency choice)","Partly inconsistent",IF(X109="Not applicable","Not applicable","Needs check")))))</f>
        <v/>
      </c>
      <c r="AA109" s="23" t="inlineStr">
        <is>
          <t>Section 3 workers qualify by being low- or very low-income under 1937 Act limits (24 CFR 75.5); how income is documented (e.g., self-certification) and whether VA compensation counts weren't checked.</t>
        </is>
      </c>
      <c r="AB109" s="23" t="inlineStr">
        <is>
          <t>Employment/contracting preference, not housing assistance.</t>
        </is>
      </c>
      <c r="AC109" s="23" t="n"/>
      <c r="AD109" s="23" t="inlineStr">
        <is>
          <t>Not verified — needs check</t>
        </is>
      </c>
    </row>
    <row r="110" ht="30.75" customHeight="1">
      <c r="A110" s="18" t="n">
        <v>92</v>
      </c>
      <c r="B110" s="19" t="inlineStr">
        <is>
          <t>Ginnie Mae Single-Class Mortgage-Backed Securities</t>
        </is>
      </c>
      <c r="C110" s="11" t="n"/>
      <c r="D110" s="19" t="inlineStr">
        <is>
          <t>Government National Mortgage Association (Ginnie Mae)</t>
        </is>
      </c>
      <c r="E110" s="11" t="n"/>
      <c r="F110" s="19" t="inlineStr">
        <is>
          <t>Guarantees timely payments on securities backed by government-insured mortgages.</t>
        </is>
      </c>
      <c r="G110" s="19" t="inlineStr">
        <is>
          <t>Section 306(g) of the National Housing Act (12 U.S.C. 1721(g)).</t>
        </is>
      </c>
      <c r="H110" s="19" t="inlineStr">
        <is>
          <t>Regulations are at 24 CFR part 320.</t>
        </is>
      </c>
      <c r="I110" s="21" t="inlineStr">
        <is>
          <t>https://www.ginniemae.gov/about_us/what_we_do/Pages/programs_products.aspx</t>
        </is>
      </c>
      <c r="J110" s="11" t="n"/>
      <c r="K110" s="11" t="n"/>
      <c r="L110" s="11" t="n"/>
      <c r="M110" s="11" t="n"/>
      <c r="N110" s="11" t="n"/>
      <c r="O110" s="11" t="n"/>
      <c r="P110" s="11" t="n"/>
      <c r="Q110" s="11" t="n"/>
      <c r="R110" s="11" t="n"/>
      <c r="S110" s="23" t="inlineStr">
        <is>
          <t>Not income-tested</t>
        </is>
      </c>
      <c r="T110" s="23" t="inlineStr">
        <is>
          <t>National Housing Act (FHA &amp; mortgage insurance)</t>
        </is>
      </c>
      <c r="U110" s="23" t="inlineStr">
        <is>
          <t>National Housing Act §306(g)</t>
        </is>
      </c>
      <c r="V110" s="23" t="inlineStr">
        <is>
          <t>N/A</t>
        </is>
      </c>
      <c r="W110" s="23" t="inlineStr">
        <is>
          <t>N/A</t>
        </is>
      </c>
      <c r="X110" s="23" t="inlineStr">
        <is>
          <t>Not applicable</t>
        </is>
      </c>
      <c r="Y110" s="23" t="inlineStr">
        <is>
          <t>Not applicable</t>
        </is>
      </c>
      <c r="Z110" s="23">
        <f>IF(X110="","",IF(X110="Excluded","Consistent",IF(X110="Counted","Inconsistent",IF(X110="Varies (grantee/agency choice)","Partly inconsistent",IF(X110="Not applicable","Not applicable","Needs check")))))</f>
        <v/>
      </c>
      <c r="AA110" s="23" t="inlineStr">
        <is>
          <t>No household income eligibility test: mortgage-backed securities guaranty.</t>
        </is>
      </c>
      <c r="AB110" s="23" t="inlineStr">
        <is>
          <t>Not a means-tested household benefit.</t>
        </is>
      </c>
      <c r="AC110" s="23" t="n"/>
      <c r="AD110" s="23" t="inlineStr">
        <is>
          <t>Not verified — low risk (not income-tested)</t>
        </is>
      </c>
    </row>
    <row r="111" ht="57.75" customHeight="1">
      <c r="A111" s="18" t="n">
        <v>93</v>
      </c>
      <c r="B111" s="19" t="inlineStr">
        <is>
          <t>Ginnie Mae Multiclass Securities</t>
        </is>
      </c>
      <c r="C111" s="11" t="n"/>
      <c r="D111" s="19" t="inlineStr">
        <is>
          <t>Government National Mortgage Association (Ginnie Mae)</t>
        </is>
      </c>
      <c r="E111" s="11" t="n"/>
      <c r="F111" s="19" t="inlineStr">
        <is>
          <t>Guarantees the timely payment of principal and interest on multiclass securities backed by government-insured mortgages as provided by the terms of the multiclass security.</t>
        </is>
      </c>
      <c r="G111" s="19" t="inlineStr">
        <is>
          <t>Section 306(g) of the National Housing Act (12 U.S.C. 1721(g)).</t>
        </is>
      </c>
      <c r="H111" s="19" t="inlineStr">
        <is>
          <t>Regulations are at 24 CFR part 330.</t>
        </is>
      </c>
      <c r="I111" s="21" t="inlineStr">
        <is>
          <t>https://www.ginniemae.gov/investors/multiclass_resources/Pages/multiclass-securitiesguide.aspx</t>
        </is>
      </c>
      <c r="J111" s="11" t="n"/>
      <c r="K111" s="11" t="n"/>
      <c r="L111" s="11" t="n"/>
      <c r="M111" s="11" t="n"/>
      <c r="N111" s="11" t="n"/>
      <c r="O111" s="11" t="n"/>
      <c r="P111" s="11" t="n"/>
      <c r="Q111" s="11" t="n"/>
      <c r="R111" s="11" t="n"/>
      <c r="S111" s="23" t="inlineStr">
        <is>
          <t>Not income-tested</t>
        </is>
      </c>
      <c r="T111" s="23" t="inlineStr">
        <is>
          <t>National Housing Act (FHA &amp; mortgage insurance)</t>
        </is>
      </c>
      <c r="U111" s="23" t="inlineStr">
        <is>
          <t>National Housing Act §306(g)</t>
        </is>
      </c>
      <c r="V111" s="23" t="inlineStr">
        <is>
          <t>N/A</t>
        </is>
      </c>
      <c r="W111" s="23" t="inlineStr">
        <is>
          <t>N/A</t>
        </is>
      </c>
      <c r="X111" s="23" t="inlineStr">
        <is>
          <t>Not applicable</t>
        </is>
      </c>
      <c r="Y111" s="23" t="inlineStr">
        <is>
          <t>Not applicable</t>
        </is>
      </c>
      <c r="Z111" s="23">
        <f>IF(X111="","",IF(X111="Excluded","Consistent",IF(X111="Counted","Inconsistent",IF(X111="Varies (grantee/agency choice)","Partly inconsistent",IF(X111="Not applicable","Not applicable","Needs check")))))</f>
        <v/>
      </c>
      <c r="AA111" s="23" t="inlineStr">
        <is>
          <t>No household income eligibility test: mortgage-backed securities guaranty.</t>
        </is>
      </c>
      <c r="AB111" s="23" t="inlineStr">
        <is>
          <t>Not a means-tested household benefit.</t>
        </is>
      </c>
      <c r="AC111" s="23" t="n"/>
      <c r="AD111" s="23" t="inlineStr">
        <is>
          <t>Not verified — low risk (not income-tested)</t>
        </is>
      </c>
    </row>
    <row r="112" ht="229.5" customHeight="1">
      <c r="A112" s="18" t="n">
        <v>97</v>
      </c>
      <c r="B112" s="19" t="inlineStr">
        <is>
          <t>Low Income Housing Tax Credit Pilot (Tax Credit Pilot)</t>
        </is>
      </c>
      <c r="C112" s="11" t="n"/>
      <c r="D112" s="19" t="inlineStr">
        <is>
          <t>Temporary Programs — HERA (Public Law 110-289)</t>
        </is>
      </c>
      <c r="E112" s="11" t="n"/>
      <c r="F112" s="19" t="inlineStr">
        <is>
          <t>HERA established a pilot program to streamline the review process for FHA mortgage insurance applications for projects with equity from the Low-Income Housing Tax Credit (LIHTC) program. In 2012, FHA launched the pilot program to refinance mortgage debt under FHA’s Section 223(f) program on transactions that would receive LIHTC equity. On February 21, 2019, FHA announced the expansion of the pilot program (Mortgagee Letter 2019-03 and Notice: H 2019-03) to include new construction and substantial rehabilitation projects under its Section 221(d)(4) and Section 220 programs. The expanded pilot program continues FHA’s effort to ensure faster and more efficient processing for low-risk, LIHTC transactions by eliminating redundant reviews. FHA multifamily transactions with LIHTCs account for approximately 30 percent of FHA’s total multifamily volume. By aligning FHA’s Section 221(d)(4) and Section 220 programs with the LIHTC program, the Department anticipated and has realized more production and preservation of critically needed affordable multifamily housing. LIHTCs are codified at 26 U.S.C. 42.</t>
        </is>
      </c>
      <c r="G112" s="19" t="n"/>
      <c r="H112" s="19" t="n"/>
      <c r="I112" s="21" t="inlineStr">
        <is>
          <t>https://www.hud.gov/program_offices/housing/mfh/map/maphome/taxcredit</t>
        </is>
      </c>
      <c r="J112" s="11" t="n"/>
      <c r="K112" s="11" t="n"/>
      <c r="L112" s="11" t="n"/>
      <c r="M112" s="11" t="n"/>
      <c r="N112" s="11" t="n"/>
      <c r="O112" s="11" t="n"/>
      <c r="P112" s="11" t="n"/>
      <c r="Q112" s="11" t="n"/>
      <c r="R112" s="11" t="n"/>
      <c r="S112" s="23" t="inlineStr">
        <is>
          <t>Underwriting only</t>
        </is>
      </c>
      <c r="T112" s="23" t="inlineStr">
        <is>
          <t>National Housing Act (FHA &amp; mortgage insurance)</t>
        </is>
      </c>
      <c r="U112" s="23" t="inlineStr">
        <is>
          <t>HERA 2008; National Housing Act §223(f)</t>
        </is>
      </c>
      <c r="V112" s="23" t="inlineStr">
        <is>
          <t>N/A (credit underwriting, no income limit)</t>
        </is>
      </c>
      <c r="W112" s="23" t="inlineStr">
        <is>
          <t>N/A</t>
        </is>
      </c>
      <c r="X112" s="23" t="inlineStr">
        <is>
          <t>Not applicable</t>
        </is>
      </c>
      <c r="Y112" s="23" t="inlineStr">
        <is>
          <t>Not applicable</t>
        </is>
      </c>
      <c r="Z112" s="23">
        <f>IF(X112="","",IF(X112="Excluded","Consistent",IF(X112="Counted","Inconsistent",IF(X112="Varies (grantee/agency choice)","Partly inconsistent",IF(X112="Not applicable","Not applicable","Needs check")))))</f>
        <v/>
      </c>
      <c r="AA112" s="23" t="inlineStr">
        <is>
          <t>No HUD low-income eligibility test. Borrower income is assessed only for ability to repay under FHA underwriting.</t>
        </is>
      </c>
      <c r="AB112" s="23" t="inlineStr">
        <is>
          <t>Mortgage insurance/credit programs test repayment capacity, not need.</t>
        </is>
      </c>
      <c r="AC112" s="23" t="inlineStr">
        <is>
          <t>FHA processing pilot for LIHTC projects. Tenant incomes are governed by LIHTC (IRC §42), which follows Section 8 methodology; Rev. Proc. 2024-38 excludes VA service-connected disability benefits for LIHTC/PAB income determinations only for HUD-VASH tenants (on or after Oct. 24, 2024).</t>
        </is>
      </c>
      <c r="AD112" s="23" t="inlineStr">
        <is>
          <t>Not verified — low risk (not income-tested)</t>
        </is>
      </c>
    </row>
    <row r="113" ht="229.5" customHeight="1">
      <c r="A113" s="18" t="n">
        <v>97</v>
      </c>
      <c r="B113" s="19" t="inlineStr">
        <is>
          <t>Rental Assistance Demonstration (RAD)</t>
        </is>
      </c>
      <c r="C113" s="11" t="n"/>
      <c r="D113" s="19" t="inlineStr">
        <is>
          <t>Temporary Programs — Consolidated and Further Continuing Appropriations Act, 2012</t>
        </is>
      </c>
      <c r="E113" s="11" t="n"/>
      <c r="F113" s="19" t="inlineStr">
        <is>
          <t>The Consolidated and Further Continuing Appropriations Act, 2012 authorized the creation of a demonstration designed to preserve and improve public housing and certain other multifamily housing through the voluntary conversion of properties assisted under section 9 of the United States Housing Act of 1937 (public housing), the Moderate Rehabilitation Program (Mod Rehab), the Rent Supplement Program (Rent Supp), and the Rental Assistance Program (RAP), to assistance under a project-based subsidy contract under section 8 of the 1937 Act. Subsequent legislation authorized the voluntary conversion of the Section 202 and 811 Project Rental Assistance Contract (202 PRAC and 811 PRAC) programs. The program has a competitive component and a non-competitive component, but no new funding is appropriated for these conversions. The competitive component allows conversion of a maximum number of units from the Section 9 account (for public housing conversions) or from the Project-Based Rental Assistance (PBRA) account (amounts appropriated for mod rehab) for Mod Rehab conversion to long-term Section 8 rental assistance contracts or project-based voucher contracts. The conversions are administered by public housing agencies and other qualified entities. The non-competitive component allows Mod Rehab and 202 PRAC property owners to convert assistance to long-term Section 8 rental assistance contracts or project-based voucher contracts.</t>
        </is>
      </c>
      <c r="G113" s="19" t="n"/>
      <c r="H113" s="19" t="n"/>
      <c r="I113" s="21" t="inlineStr">
        <is>
          <t>http://www.hud.gov/rad</t>
        </is>
      </c>
      <c r="J113" s="11" t="n"/>
      <c r="K113" s="11" t="n"/>
      <c r="L113" s="11" t="n"/>
      <c r="M113" s="11" t="n"/>
      <c r="N113" s="11" t="n"/>
      <c r="O113" s="11" t="n"/>
      <c r="P113" s="11" t="n"/>
      <c r="Q113" s="11" t="n"/>
      <c r="R113" s="11" t="n"/>
      <c r="S113" s="23" t="inlineStr">
        <is>
          <t>Household income test</t>
        </is>
      </c>
      <c r="T113" s="23" t="inlineStr">
        <is>
          <t>U.S. Housing Act of 1937 (public housing &amp; Section 8)</t>
        </is>
      </c>
      <c r="U113" s="23" t="inlineStr">
        <is>
          <t>RAD (FY2012 Appropriations Act); converts to PBV or PBRA under the 1937 Act; 24 CFR 5.609</t>
        </is>
      </c>
      <c r="V113" s="23" t="inlineStr">
        <is>
          <t>Part 5 annual income (24 CFR 5.609)</t>
        </is>
      </c>
      <c r="W113" s="23" t="inlineStr">
        <is>
          <t>Mandatory</t>
        </is>
      </c>
      <c r="X113" s="23" t="inlineStr">
        <is>
          <t>Counted</t>
        </is>
      </c>
      <c r="Y113" s="23" t="inlineStr">
        <is>
          <t>Counted</t>
        </is>
      </c>
      <c r="Z113" s="23">
        <f>IF(X113="","",IF(X113="Excluded","Consistent",IF(X113="Counted","Inconsistent",IF(X113="Varies (grantee/agency choice)","Partly inconsistent",IF(X113="Not applicable","Not applicable","Needs check")))))</f>
        <v/>
      </c>
      <c r="AA113" s="23" t="inlineStr">
        <is>
          <t>Current VA service-connected disability compensation is not among the 24 CFR 5.609(b) exclusions, so it is annual income. Only deferred VA disability amounts received as a lump sum or prospective monthly amounts (5.609(b)(16)) and aid &amp; attendance under 38 U.S.C. 1521 (5.609(b)(17)) are excluded; the statute (42 U.S.C. 1437a(b)(4)(B)(iii), (vi)) mirrors this.</t>
        </is>
      </c>
      <c r="AB113" s="23" t="inlineStr">
        <is>
          <t>The 1937 Act itself defines 'income' as income from all sources minus enumerated exclusions; HUD implements it uniformly through Part 5 because these programs set ongoing tenant rent from adjusted income (5.611).</t>
        </is>
      </c>
      <c r="AC113" s="23" t="inlineStr">
        <is>
          <t>RAD-converted units follow PBV or PBRA rules, both Part 5.</t>
        </is>
      </c>
      <c r="AD113" s="23" t="inlineStr">
        <is>
          <t>Partly verified</t>
        </is>
      </c>
    </row>
    <row r="114" ht="229.5" customHeight="1">
      <c r="A114" s="18" t="n">
        <v>99</v>
      </c>
      <c r="B114" s="19" t="inlineStr">
        <is>
          <t>Mobility Demonstration (Community Choice Demonstration)</t>
        </is>
      </c>
      <c r="C114" s="11" t="n"/>
      <c r="D114" s="19" t="inlineStr">
        <is>
          <t>Temporary Programs — Consolidated Appropriations Act, 2019</t>
        </is>
      </c>
      <c r="E114" s="11" t="n"/>
      <c r="F114" s="19" t="inlineStr">
        <is>
          <t>The Community Choice Demonstration (CCD), formerly known as the HCV Mobility Demonstration, builds upon recent research that shows growing up in neighborhoods with lower levels of poverty improves children’s academic achievement and long-term chances of success and reduces intergenerational poverty. The CCD supports selected PHAs in addressing barriers to accessing housing choices by offering housing mobility-related services to increase the number of voucher families with children living in opportunity areas. Through October 2028, these PHA sites will provide housing mobility-related services to approximately 9,400 families. In addition to offering housing mobility-related services, participating PHAs work together in their regions to adopt administrative policies that further enable housing mobility, increase landlord participation, and reduce barriers for families to move across PHA jurisdictions through portability. The CCD includes a rigorous, independent evaluation to determine what services are most effective at helping families move to opportunity areas. HUD also intends to make materials developed for the Demonstration available to all PHAs for use in their own communities. The Consolidated Appropriations Act, 2019 (Public Law 116-6, approved February 15, 2019) (providing initial funding), and the Further Consolidated Appropriations Act, 2020 (Public Law 116-94, approved December 20, 2019) (expanding CCD).</t>
        </is>
      </c>
      <c r="G114" s="19" t="n"/>
      <c r="H114" s="19" t="n"/>
      <c r="I114" s="21" t="inlineStr">
        <is>
          <t>https://www.hud.gov/program_offices/public_indian_housing/programs/hcv/communitychoicede</t>
        </is>
      </c>
      <c r="J114" s="11" t="n"/>
      <c r="K114" s="11" t="n"/>
      <c r="L114" s="11" t="n"/>
      <c r="M114" s="11" t="n"/>
      <c r="N114" s="11" t="n"/>
      <c r="O114" s="11" t="n"/>
      <c r="P114" s="11" t="n"/>
      <c r="Q114" s="11" t="n"/>
      <c r="R114" s="11" t="n"/>
      <c r="S114" s="23" t="inlineStr">
        <is>
          <t>Household income test</t>
        </is>
      </c>
      <c r="T114" s="23" t="inlineStr">
        <is>
          <t>U.S. Housing Act of 1937 (public housing &amp; Section 8)</t>
        </is>
      </c>
      <c r="U114" s="23" t="inlineStr">
        <is>
          <t>Appropriations acts; HCV rules (24 CFR part 982; 5.609)</t>
        </is>
      </c>
      <c r="V114" s="23" t="inlineStr">
        <is>
          <t>Part 5 annual income (24 CFR 5.609)</t>
        </is>
      </c>
      <c r="W114" s="23" t="inlineStr">
        <is>
          <t>Mandatory</t>
        </is>
      </c>
      <c r="X114" s="23" t="inlineStr">
        <is>
          <t>Counted</t>
        </is>
      </c>
      <c r="Y114" s="23" t="inlineStr">
        <is>
          <t>Counted</t>
        </is>
      </c>
      <c r="Z114" s="23">
        <f>IF(X114="","",IF(X114="Excluded","Consistent",IF(X114="Counted","Inconsistent",IF(X114="Varies (grantee/agency choice)","Partly inconsistent",IF(X114="Not applicable","Not applicable","Needs check")))))</f>
        <v/>
      </c>
      <c r="AA114" s="23" t="inlineStr">
        <is>
          <t>Current VA service-connected disability compensation is not among the 24 CFR 5.609(b) exclusions, so it is annual income. Only deferred VA disability amounts received as a lump sum or prospective monthly amounts (5.609(b)(16)) and aid &amp; attendance under 38 U.S.C. 1521 (5.609(b)(17)) are excluded; the statute (42 U.S.C. 1437a(b)(4)(B)(iii), (vi)) mirrors this.</t>
        </is>
      </c>
      <c r="AB114" s="23" t="inlineStr">
        <is>
          <t>The 1937 Act itself defines 'income' as income from all sources minus enumerated exclusions; HUD implements it uniformly through Part 5 because these programs set ongoing tenant rent from adjusted income (5.611).</t>
        </is>
      </c>
      <c r="AC114" s="23" t="inlineStr">
        <is>
          <t>Mobility demonstration operates within HCV.</t>
        </is>
      </c>
      <c r="AD114" s="23" t="inlineStr">
        <is>
          <t>Partly verified</t>
        </is>
      </c>
    </row>
    <row r="115" ht="229.5" customHeight="1">
      <c r="A115" s="18" t="n">
        <v>99</v>
      </c>
      <c r="B115" s="19" t="inlineStr">
        <is>
          <t>Recovery Housing Program (RHP)</t>
        </is>
      </c>
      <c r="C115" s="11" t="n"/>
      <c r="D115" s="19" t="inlineStr">
        <is>
          <t>Temporary Programs — Further Consolidated Appropriations Act, 2020</t>
        </is>
      </c>
      <c r="E115" s="11" t="n"/>
      <c r="F115" s="19" t="inlineStr">
        <is>
          <t>The Recovery Housing Program (RHP) is a pilot program, authorized by Section 8071 of the SUPPORT for Patients and Communities Act (“SUPPORT Act”), that provides stable, temporary housing to individuals in recovery from a substance use disorder. The assistance is limited, per individual, to a period of not more than two years or until the individual secures permanent housing, whichever is earlier. The SUPPORT Act requires amounts appropriated or amounts otherwise made available to RHP grantees (states and the District of Columbia) be treated as CDBG funds under title I of the Housing and Community Development Act of 1974 (42 U.S.C. 5301, et seq.) (the “HCD Act”), unless otherwise provided in Section 8071 or modified by waivers and alternative requirements published in the Federal Register. HUD published two Federal Register notices describing the program rules, waivers, and alternative requirements applicable for RHP grantees and activities: 1) FY2020 Notice published on November 25, 2020 and 2) FY2021 Notice published on July 21, 2021. HUD distributes amounts appropriated for RHP in accordance with the SUPPORT Act and the Federal Register notice published on April 17, 2019, entitled “SUPPORT for Patients and Communities Act; Establishment of Funding Formula” (84 FR 16027). This program is funded through annual appropriations acts, most recently through the Consolidated Appropriations Act, 2024 (Public Law 118-42, approved March 9, 2024).</t>
        </is>
      </c>
      <c r="G115" s="19" t="n"/>
      <c r="H115" s="19" t="n"/>
      <c r="I115" s="21" t="inlineStr">
        <is>
          <t>https://www.hud.gov/program_offices/comm_planning/rhp</t>
        </is>
      </c>
      <c r="J115" s="11" t="n"/>
      <c r="K115" s="11" t="n"/>
      <c r="L115" s="11" t="n"/>
      <c r="M115" s="11" t="n"/>
      <c r="N115" s="11" t="n"/>
      <c r="O115" s="11" t="n"/>
      <c r="P115" s="11" t="n"/>
      <c r="Q115" s="11" t="n"/>
      <c r="R115" s="11" t="n"/>
      <c r="S115" s="23" t="inlineStr">
        <is>
          <t>Household income test</t>
        </is>
      </c>
      <c r="T115" s="23" t="inlineStr">
        <is>
          <t>HCDA Title I (CDBG family)</t>
        </is>
      </c>
      <c r="U115" s="23" t="inlineStr">
        <is>
          <t>SUPPORT Act §8071; 42 U.S.C. 5302(a)(20)(C); 24 CFR 570.3</t>
        </is>
      </c>
      <c r="V115" s="23" t="inlineStr">
        <is>
          <t>Part 5 / Census long-form / IRS 1040 AGI (grantee picks per activity)</t>
        </is>
      </c>
      <c r="W115" s="23" t="inlineStr">
        <is>
          <t>Grantee menu</t>
        </is>
      </c>
      <c r="X115" s="23" t="inlineStr">
        <is>
          <t>Excluded</t>
        </is>
      </c>
      <c r="Y115" s="23" t="inlineStr">
        <is>
          <t>Not applicable</t>
        </is>
      </c>
      <c r="Z115" s="23">
        <f>IF(X115="","",IF(X115="Excluded","Consistent",IF(X115="Counted","Inconsistent",IF(X115="Varies (grantee/agency choice)","Partly inconsistent",IF(X115="Not applicable","Not applicable","Needs check")))))</f>
        <v/>
      </c>
      <c r="AA115" s="23" t="inlineStr">
        <is>
          <t>PL 119-70 §2 (Jan. 20, 2026) requires a State, unit of general local government, or Indian tribe to exclude VA service-connected disability compensation when determining whether a person is low/moderate income. HUD implemented it sub-regulatorily in Notice CPD-26-09 (posted Sept. 4, 2026). 24 CFR 570.3 has not been amended: its Census option still lists 'Veterans' (VA) payments' as income.</t>
        </is>
      </c>
      <c r="AB115" s="23" t="inlineStr">
        <is>
          <t>HCDA sets income limits (80% AMI) but left the income definition to HUD, which offered a three-definition menu (1995) to ease local administration. Before PL 119-70, treatment depended on the definition: counted under Part 5 and Census, excluded under IRS 1040 (compensation is non-taxable). Congress cited that inconsistency (H. Rept. 118-652).</t>
        </is>
      </c>
      <c r="AC115" s="23" t="inlineStr">
        <is>
          <t>RHP is carried out under CDBG rules (SUPPORT Act §8071); HUD Exchange's RHP page lists CPD-26-09. Statute (5302(a)(20)(C)) and 570.3 read this session; CPD-26-09's existence and date confirmed but its text could not be retrieved.</t>
        </is>
      </c>
      <c r="AD115" s="23" t="inlineStr">
        <is>
          <t>Partly verified</t>
        </is>
      </c>
    </row>
    <row r="116" ht="71.25" customHeight="1">
      <c r="A116" s="18" t="n">
        <v>100</v>
      </c>
      <c r="B116" s="19" t="inlineStr">
        <is>
          <t>American Rescue Plan Act of 2021</t>
        </is>
      </c>
      <c r="C116" s="11" t="n"/>
      <c r="D116" s="19" t="inlineStr">
        <is>
          <t>Temporary Programs — American Rescue Plan Act of 2021</t>
        </is>
      </c>
      <c r="E116" s="11" t="n"/>
      <c r="F116" s="19" t="inlineStr">
        <is>
          <t>The American Rescue Plan Act of 2021 (the “ARP Act”) includes supplemental appropriations to numerous HUD programs to address the continued impact of COVID-19. The ARP Act provided the following funds for HUD and HUD programs: </t>
        </is>
      </c>
      <c r="G116" s="19" t="n"/>
      <c r="H116" s="19" t="n"/>
      <c r="I116" s="19" t="n"/>
      <c r="J116" s="11" t="n"/>
      <c r="K116" s="11" t="n"/>
      <c r="L116" s="11" t="n"/>
      <c r="M116" s="11" t="n"/>
      <c r="N116" s="11" t="n"/>
      <c r="O116" s="11" t="n"/>
      <c r="P116" s="11" t="n"/>
      <c r="Q116" s="11" t="n"/>
      <c r="R116" s="11" t="n"/>
      <c r="S116" s="23" t="inlineStr">
        <is>
          <t>Varies by component</t>
        </is>
      </c>
      <c r="T116" s="23" t="inlineStr">
        <is>
          <t>Other statutes &amp; appropriations</t>
        </is>
      </c>
      <c r="U116" s="23" t="inlineStr">
        <is>
          <t>American Rescue Plan Act of 2021 (PL 117-2)</t>
        </is>
      </c>
      <c r="V116" s="23" t="inlineStr">
        <is>
          <t>Varies by component</t>
        </is>
      </c>
      <c r="W116" s="23" t="inlineStr">
        <is>
          <t>N/A</t>
        </is>
      </c>
      <c r="X116" s="23" t="inlineStr">
        <is>
          <t>Unclear / needs check</t>
        </is>
      </c>
      <c r="Y116" s="23" t="inlineStr">
        <is>
          <t>Unclear / needs check</t>
        </is>
      </c>
      <c r="Z116" s="23">
        <f>IF(X116="","",IF(X116="Excluded","Consistent",IF(X116="Counted","Inconsistent",IF(X116="Varies (grantee/agency choice)","Partly inconsistent",IF(X116="Not applicable","Not applicable","Needs check")))))</f>
        <v/>
      </c>
      <c r="AA116" s="23" t="inlineStr">
        <is>
          <t>ARP funding flowed through several programs: Emergency Housing Vouchers (HCV — Part 5, VA compensation counted), HOME-ARP (qualifying populations; income rules per Notice CPD-21-10, not checked), and others.</t>
        </is>
      </c>
      <c r="AB116" s="23" t="inlineStr">
        <is>
          <t>Supplemental appropriations to existing programs.</t>
        </is>
      </c>
      <c r="AC116" s="23" t="inlineStr">
        <is>
          <t>Classify by component if ARP matters for the report.</t>
        </is>
      </c>
      <c r="AD116" s="23" t="inlineStr">
        <is>
          <t>Not verified — needs check</t>
        </is>
      </c>
    </row>
    <row r="117" ht="44.25" customHeight="1">
      <c r="A117" s="18" t="n">
        <v>102</v>
      </c>
      <c r="B117" s="19" t="inlineStr">
        <is>
          <t>NeighborWorks America</t>
        </is>
      </c>
      <c r="C117" s="11" t="n"/>
      <c r="D117" s="19" t="inlineStr">
        <is>
          <t>Related Agencies</t>
        </is>
      </c>
      <c r="E117" s="11" t="n"/>
      <c r="F117" s="19" t="inlineStr">
        <is>
          <t>Provides financial support, technical assistance, and training for community-based revitalization efforts.</t>
        </is>
      </c>
      <c r="G117" s="19" t="inlineStr">
        <is>
          <t>Title VI of the Housing and Community Development Amendments of 1978 Act (42 U.S.C. 8101, et seq.).</t>
        </is>
      </c>
      <c r="H117" s="19" t="n"/>
      <c r="I117" s="21" t="inlineStr">
        <is>
          <t>http://www.neighborworks.org</t>
        </is>
      </c>
      <c r="J117" s="11" t="n"/>
      <c r="K117" s="11" t="n"/>
      <c r="L117" s="11" t="n"/>
      <c r="M117" s="11" t="n"/>
      <c r="N117" s="11" t="n"/>
      <c r="O117" s="11" t="n"/>
      <c r="P117" s="11" t="n"/>
      <c r="Q117" s="11" t="n"/>
      <c r="R117" s="11" t="n"/>
      <c r="S117" s="23" t="inlineStr">
        <is>
          <t>Not income-tested</t>
        </is>
      </c>
      <c r="T117" s="23" t="inlineStr">
        <is>
          <t>Other statutes &amp; appropriations</t>
        </is>
      </c>
      <c r="U117" s="23" t="inlineStr">
        <is>
          <t>—</t>
        </is>
      </c>
      <c r="V117" s="23" t="inlineStr">
        <is>
          <t>N/A</t>
        </is>
      </c>
      <c r="W117" s="23" t="inlineStr">
        <is>
          <t>N/A</t>
        </is>
      </c>
      <c r="X117" s="23" t="inlineStr">
        <is>
          <t>Not applicable</t>
        </is>
      </c>
      <c r="Y117" s="23" t="inlineStr">
        <is>
          <t>Not applicable</t>
        </is>
      </c>
      <c r="Z117" s="23">
        <f>IF(X117="","",IF(X117="Excluded","Consistent",IF(X117="Counted","Inconsistent",IF(X117="Varies (grantee/agency choice)","Partly inconsistent",IF(X117="Not applicable","Not applicable","Needs check")))))</f>
        <v/>
      </c>
      <c r="AA117" s="23" t="inlineStr">
        <is>
          <t>No household income eligibility test: congressionally chartered nonprofit network.</t>
        </is>
      </c>
      <c r="AB117" s="23" t="inlineStr">
        <is>
          <t>Not a means-tested household benefit.</t>
        </is>
      </c>
      <c r="AC117" s="23" t="n"/>
      <c r="AD117" s="23" t="inlineStr">
        <is>
          <t>Not verified — low risk (not income-tested)</t>
        </is>
      </c>
    </row>
    <row r="118" ht="44.25" customHeight="1">
      <c r="A118" s="18" t="n">
        <v>103</v>
      </c>
      <c r="B118" s="19" t="inlineStr">
        <is>
          <t>U.S. Interagency Council on Homelessness</t>
        </is>
      </c>
      <c r="C118" s="11" t="n"/>
      <c r="D118" s="19" t="inlineStr">
        <is>
          <t>Related Agencies</t>
        </is>
      </c>
      <c r="E118" s="11" t="n"/>
      <c r="F118" s="19" t="inlineStr">
        <is>
          <t>Promotes and coordinates the Federal response to homelessness and national partnerships that work to reduce and end homelessness.</t>
        </is>
      </c>
      <c r="G118" s="19" t="inlineStr">
        <is>
          <t>Title II of the McKinney-Vento Homeless Assistance Act (42 U.S.C. 11311, et seq.).</t>
        </is>
      </c>
      <c r="H118" s="19" t="n"/>
      <c r="I118" s="21" t="inlineStr">
        <is>
          <t>https://www.usich.gov/</t>
        </is>
      </c>
      <c r="J118" s="11" t="n"/>
      <c r="K118" s="11" t="n"/>
      <c r="L118" s="11" t="n"/>
      <c r="M118" s="11" t="n"/>
      <c r="N118" s="11" t="n"/>
      <c r="O118" s="11" t="n"/>
      <c r="P118" s="11" t="n"/>
      <c r="Q118" s="11" t="n"/>
      <c r="R118" s="11" t="n"/>
      <c r="S118" s="23" t="inlineStr">
        <is>
          <t>Not income-tested</t>
        </is>
      </c>
      <c r="T118" s="23" t="inlineStr">
        <is>
          <t>Other statutes &amp; appropriations</t>
        </is>
      </c>
      <c r="U118" s="23" t="inlineStr">
        <is>
          <t>—</t>
        </is>
      </c>
      <c r="V118" s="23" t="inlineStr">
        <is>
          <t>N/A</t>
        </is>
      </c>
      <c r="W118" s="23" t="inlineStr">
        <is>
          <t>N/A</t>
        </is>
      </c>
      <c r="X118" s="23" t="inlineStr">
        <is>
          <t>Not applicable</t>
        </is>
      </c>
      <c r="Y118" s="23" t="inlineStr">
        <is>
          <t>Not applicable</t>
        </is>
      </c>
      <c r="Z118" s="23">
        <f>IF(X118="","",IF(X118="Excluded","Consistent",IF(X118="Counted","Inconsistent",IF(X118="Varies (grantee/agency choice)","Partly inconsistent",IF(X118="Not applicable","Not applicable","Needs check")))))</f>
        <v/>
      </c>
      <c r="AA118" s="23" t="inlineStr">
        <is>
          <t>No household income eligibility test: federal coordinating council.</t>
        </is>
      </c>
      <c r="AB118" s="23" t="inlineStr">
        <is>
          <t>Not a means-tested household benefit.</t>
        </is>
      </c>
      <c r="AC118" s="23" t="n"/>
      <c r="AD118" s="23" t="inlineStr">
        <is>
          <t>Not verified — low risk (not income-tested)</t>
        </is>
      </c>
    </row>
    <row r="119" ht="71.25" customHeight="1">
      <c r="A119" s="18" t="n">
        <v>104</v>
      </c>
      <c r="B119" s="19" t="inlineStr">
        <is>
          <t>EnVision Center Demonstration</t>
        </is>
      </c>
      <c r="C119" s="11" t="n"/>
      <c r="D119" s="19" t="inlineStr">
        <is>
          <t>Inactive Programs — Office of the Secretary</t>
        </is>
      </c>
      <c r="E119" s="11" t="n"/>
      <c r="F119" s="19" t="inlineStr">
        <is>
          <t>A pilot program for public-private collaboration to improve educational and employment opportunities, health outcomes, and community participation of HUD-assisted households. HUD has not accepted new applications under this program since January 2021.</t>
        </is>
      </c>
      <c r="G119" s="19" t="n"/>
      <c r="H119" s="19" t="n"/>
      <c r="I119" s="19" t="n"/>
      <c r="J119" s="11" t="n"/>
      <c r="K119" s="11" t="n"/>
      <c r="L119" s="11" t="n"/>
      <c r="M119" s="11" t="n"/>
      <c r="N119" s="11" t="n"/>
      <c r="O119" s="11" t="n"/>
      <c r="P119" s="11" t="n"/>
      <c r="Q119" s="11" t="n"/>
      <c r="R119" s="11" t="n"/>
      <c r="S119" s="23" t="inlineStr">
        <is>
          <t>Not income-tested</t>
        </is>
      </c>
      <c r="T119" s="23" t="inlineStr">
        <is>
          <t>Other statutes &amp; appropriations</t>
        </is>
      </c>
      <c r="U119" s="23" t="inlineStr">
        <is>
          <t>—</t>
        </is>
      </c>
      <c r="V119" s="23" t="inlineStr">
        <is>
          <t>N/A</t>
        </is>
      </c>
      <c r="W119" s="23" t="inlineStr">
        <is>
          <t>N/A</t>
        </is>
      </c>
      <c r="X119" s="23" t="inlineStr">
        <is>
          <t>Not applicable</t>
        </is>
      </c>
      <c r="Y119" s="23" t="inlineStr">
        <is>
          <t>Not applicable</t>
        </is>
      </c>
      <c r="Z119" s="23">
        <f>IF(X119="","",IF(X119="Excluded","Consistent",IF(X119="Counted","Inconsistent",IF(X119="Varies (grantee/agency choice)","Partly inconsistent",IF(X119="Not applicable","Not applicable","Needs check")))))</f>
        <v/>
      </c>
      <c r="AA119" s="23" t="inlineStr">
        <is>
          <t>No household income eligibility test: one-stop service centers.</t>
        </is>
      </c>
      <c r="AB119" s="23" t="inlineStr">
        <is>
          <t>Not a means-tested household benefit.</t>
        </is>
      </c>
      <c r="AC119" s="23" t="n"/>
      <c r="AD119" s="23" t="inlineStr">
        <is>
          <t>Not verified — low risk (not income-tested)</t>
        </is>
      </c>
    </row>
    <row r="120" ht="98.25" customHeight="1">
      <c r="A120" s="18" t="n">
        <v>104</v>
      </c>
      <c r="B120" s="19" t="inlineStr">
        <is>
          <t>Community Development Block Grant CARES Act (CDBG-CV)</t>
        </is>
      </c>
      <c r="C120" s="11" t="n"/>
      <c r="D120" s="19" t="inlineStr">
        <is>
          <t>Inactive Programs — Community Planning and Development</t>
        </is>
      </c>
      <c r="E120" s="11" t="n"/>
      <c r="F120" s="19" t="inlineStr">
        <is>
          <t>Grants to states, insular areas, and local governments to prevent, prepare for, and respond to the spread of COVID-19.</t>
        </is>
      </c>
      <c r="G120" s="19" t="n"/>
      <c r="H120" s="19" t="n"/>
      <c r="I120" s="19" t="n"/>
      <c r="J120" s="11" t="n"/>
      <c r="K120" s="11" t="n"/>
      <c r="L120" s="11" t="n"/>
      <c r="M120" s="11" t="n"/>
      <c r="N120" s="11" t="n"/>
      <c r="O120" s="11" t="n"/>
      <c r="P120" s="11" t="n"/>
      <c r="Q120" s="11" t="n"/>
      <c r="R120" s="11" t="n"/>
      <c r="S120" s="23" t="inlineStr">
        <is>
          <t>Household income test</t>
        </is>
      </c>
      <c r="T120" s="23" t="inlineStr">
        <is>
          <t>HCDA Title I (CDBG family)</t>
        </is>
      </c>
      <c r="U120" s="23" t="inlineStr">
        <is>
          <t>42 U.S.C. 5302(a)(20)(C) (added by PL 119-70 §2); 24 CFR 570.3 'Income'</t>
        </is>
      </c>
      <c r="V120" s="23" t="inlineStr">
        <is>
          <t>Part 5 / Census long-form / IRS 1040 AGI (grantee picks per activity)</t>
        </is>
      </c>
      <c r="W120" s="23" t="inlineStr">
        <is>
          <t>Grantee menu</t>
        </is>
      </c>
      <c r="X120" s="23" t="inlineStr">
        <is>
          <t>Excluded</t>
        </is>
      </c>
      <c r="Y120" s="23" t="inlineStr">
        <is>
          <t>Not applicable</t>
        </is>
      </c>
      <c r="Z120" s="23">
        <f>IF(X120="","",IF(X120="Excluded","Consistent",IF(X120="Counted","Inconsistent",IF(X120="Varies (grantee/agency choice)","Partly inconsistent",IF(X120="Not applicable","Not applicable","Needs check")))))</f>
        <v/>
      </c>
      <c r="AA120" s="23" t="inlineStr">
        <is>
          <t>PL 119-70 §2 (Jan. 20, 2026) requires a State, unit of general local government, or Indian tribe to exclude VA service-connected disability compensation when determining whether a person is low/moderate income. HUD implemented it sub-regulatorily in Notice CPD-26-09 (posted Sept. 4, 2026). 24 CFR 570.3 has not been amended: its Census option still lists 'Veterans' (VA) payments' as income.</t>
        </is>
      </c>
      <c r="AB120" s="23" t="inlineStr">
        <is>
          <t>HCDA sets income limits (80% AMI) but left the income definition to HUD, which offered a three-definition menu (1995) to ease local administration. Before PL 119-70, treatment depended on the definition: counted under Part 5 and Census, excluded under IRS 1040 (compensation is non-taxable). Congress cited that inconsistency (H. Rept. 118-652).</t>
        </is>
      </c>
      <c r="AC120" s="23" t="inlineStr">
        <is>
          <t>CARES Act CDBG-CV funds follow HCDA/part 570 with CARES Act waivers; whether CPD-26-09 names CDBG-CV wasn't confirmed. Statute (5302(a)(20)(C)) and 570.3 read this session; CPD-26-09's existence and date confirmed but its text could not be retrieved.</t>
        </is>
      </c>
      <c r="AD120" s="23" t="inlineStr">
        <is>
          <t>Partly verified</t>
        </is>
      </c>
    </row>
    <row r="121" ht="179.25" customHeight="1">
      <c r="A121" s="18" t="n">
        <v>104</v>
      </c>
      <c r="B121" s="19" t="inlineStr">
        <is>
          <t>Resident Opportunity and Self-Sufficiency (ROSS) for Education Program</t>
        </is>
      </c>
      <c r="C121" s="11" t="n"/>
      <c r="D121" s="19" t="inlineStr">
        <is>
          <t>Inactive Programs — Community Planning and Development</t>
        </is>
      </c>
      <c r="E121" s="11" t="n"/>
      <c r="F121" s="19" t="inlineStr">
        <is>
          <t>The ROSS for Education Program, also known as Project SOAR (Students + Opportunities + Achievements = Results) was a demonstration program reflecting HUD’s commitment to expand educational services to youth living in HUD-assisted housing. Project SOAR provided grant funding to public housing authorities to deploy education navigators to provide individualized assistance to public housing youth between the ages of 15 and 20 and their families in Free Application for Federal Student Aid (FAFSA) completion, financial literacy and college readiness, postsecondary program applications and post-acceptance assistance. HUD awarded approximately $2 million to nine PHAs in 2016 to hire education navigators.</t>
        </is>
      </c>
      <c r="G121" s="19" t="n"/>
      <c r="H121" s="19" t="n"/>
      <c r="I121" s="19" t="n"/>
      <c r="J121" s="11" t="n"/>
      <c r="K121" s="11" t="n"/>
      <c r="L121" s="11" t="n"/>
      <c r="M121" s="11" t="n"/>
      <c r="N121" s="11" t="n"/>
      <c r="O121" s="11" t="n"/>
      <c r="P121" s="11" t="n"/>
      <c r="Q121" s="11" t="n"/>
      <c r="R121" s="11" t="n"/>
      <c r="S121" s="23" t="inlineStr">
        <is>
          <t>Via underlying program</t>
        </is>
      </c>
      <c r="T121" s="23" t="inlineStr">
        <is>
          <t>U.S. Housing Act of 1937 (public housing &amp; Section 8)</t>
        </is>
      </c>
      <c r="U121" s="23" t="inlineStr">
        <is>
          <t>Eligibility inherited from public housing (Part 5)</t>
        </is>
      </c>
      <c r="V121" s="23" t="inlineStr">
        <is>
          <t>N/A (no separate income determination)</t>
        </is>
      </c>
      <c r="W121" s="23" t="inlineStr">
        <is>
          <t>N/A</t>
        </is>
      </c>
      <c r="X121" s="23" t="inlineStr">
        <is>
          <t>Not applicable</t>
        </is>
      </c>
      <c r="Y121" s="23" t="inlineStr">
        <is>
          <t>Not applicable</t>
        </is>
      </c>
      <c r="Z121" s="23">
        <f>IF(X121="","",IF(X121="Excluded","Consistent",IF(X121="Counted","Inconsistent",IF(X121="Varies (grantee/agency choice)","Partly inconsistent",IF(X121="Not applicable","Not applicable","Needs check")))))</f>
        <v/>
      </c>
      <c r="AA121" s="23" t="inlineStr">
        <is>
          <t>No separate household income determination; participants are already income-qualified under public housing (Part 5), where VA compensation is treated as shown on that program's row.</t>
        </is>
      </c>
      <c r="AB121" s="23" t="inlineStr">
        <is>
          <t>Program funds services, capital, or operations for households assisted under another program.</t>
        </is>
      </c>
      <c r="AC121" s="23" t="n"/>
      <c r="AD121" s="23" t="inlineStr">
        <is>
          <t>Partly verified</t>
        </is>
      </c>
    </row>
    <row r="122" ht="152.25" customHeight="1">
      <c r="A122" s="18" t="n">
        <v>104</v>
      </c>
      <c r="B122" s="19" t="inlineStr">
        <is>
          <t>Rural Housing Stability Assistance Program</t>
        </is>
      </c>
      <c r="C122" s="11" t="n"/>
      <c r="D122" s="19" t="inlineStr">
        <is>
          <t>Inactive Programs — Community Planning and Development</t>
        </is>
      </c>
      <c r="E122" s="11" t="n"/>
      <c r="F122" s="19" t="inlineStr">
        <is>
          <t>Re-housing and other help for individuals moving from emergency or transitional shelters to permanent housing or improves the housing situations of individuals and families who are homeless or in the worst housing situations in the geographic area, stabilizes the housing of individuals and families who are in imminent danger of losing housing, and improves the ability of the lowest-income residents of the community to afford stable housing. While funds are appropriated, HUD exercises its discretion to allocate the funds to the Continuum of Care program.</t>
        </is>
      </c>
      <c r="G122" s="19" t="n"/>
      <c r="H122" s="19" t="n"/>
      <c r="I122" s="19" t="n"/>
      <c r="J122" s="11" t="n"/>
      <c r="K122" s="11" t="n"/>
      <c r="L122" s="11" t="n"/>
      <c r="M122" s="11" t="n"/>
      <c r="N122" s="11" t="n"/>
      <c r="O122" s="11" t="n"/>
      <c r="P122" s="11" t="n"/>
      <c r="Q122" s="11" t="n"/>
      <c r="R122" s="11" t="n"/>
      <c r="S122" s="23" t="inlineStr">
        <is>
          <t>Household income test</t>
        </is>
      </c>
      <c r="T122" s="23" t="inlineStr">
        <is>
          <t>McKinney-Vento / AIDS Housing Opportunity Act</t>
        </is>
      </c>
      <c r="U122" s="23" t="inlineStr">
        <is>
          <t>McKinney-Vento Title IV, Subtitle D (Rural Housing Stability Assistance)</t>
        </is>
      </c>
      <c r="V122" s="23" t="inlineStr">
        <is>
          <t>Not established</t>
        </is>
      </c>
      <c r="W122" s="23" t="inlineStr">
        <is>
          <t>N/A</t>
        </is>
      </c>
      <c r="X122" s="23" t="inlineStr">
        <is>
          <t>Unclear / needs check</t>
        </is>
      </c>
      <c r="Y122" s="23" t="inlineStr">
        <is>
          <t>Unclear / needs check</t>
        </is>
      </c>
      <c r="Z122" s="23">
        <f>IF(X122="","",IF(X122="Excluded","Consistent",IF(X122="Counted","Inconsistent",IF(X122="Varies (grantee/agency choice)","Partly inconsistent",IF(X122="Not applicable","Not applicable","Needs check")))))</f>
        <v/>
      </c>
      <c r="AA122" s="23" t="inlineStr">
        <is>
          <t>Program is listed as inactive; no implementing regulation was found, so no income rule to classify.</t>
        </is>
      </c>
      <c r="AB122" s="23" t="inlineStr">
        <is>
          <t>—</t>
        </is>
      </c>
      <c r="AC122" s="23" t="n"/>
      <c r="AD122" s="23" t="inlineStr">
        <is>
          <t>Not verified — needs check</t>
        </is>
      </c>
    </row>
    <row r="123" ht="179.25" customHeight="1">
      <c r="A123" s="18" t="n">
        <v>105</v>
      </c>
      <c r="B123" s="19" t="inlineStr">
        <is>
          <t>Juvenile Reentry Assistance Program</t>
        </is>
      </c>
      <c r="C123" s="11" t="n"/>
      <c r="D123" s="19" t="inlineStr">
        <is>
          <t>Inactive Programs — Public and Indian Housing</t>
        </is>
      </c>
      <c r="E123" s="11" t="n"/>
      <c r="F123" s="19" t="inlineStr">
        <is>
          <t>The Juvenile Reentry Assistance Program sought to alleviate collateral consequences associated with a juvenile or criminal record by assisting youth, up to age 24, residing in public or Section 8-assisted housing; or youth who would be residing in public or Section 8-assisted housing but for their criminal record. As a one-time transfer, the Department of Justice’s Office of Juvenile Justice and Delinquency Prevention transferred through interagency agreement approximately $2.05 million to HUD for the specific purpose of helping youth to improve chances for reentry, reduce recidivism, and address the challenges youth face while trying to reintegrate into their communities. The program expired in 2019.</t>
        </is>
      </c>
      <c r="G123" s="19" t="n"/>
      <c r="H123" s="19" t="n"/>
      <c r="I123" s="19" t="n"/>
      <c r="J123" s="11" t="n"/>
      <c r="K123" s="11" t="n"/>
      <c r="L123" s="11" t="n"/>
      <c r="M123" s="11" t="n"/>
      <c r="N123" s="11" t="n"/>
      <c r="O123" s="11" t="n"/>
      <c r="P123" s="11" t="n"/>
      <c r="Q123" s="11" t="n"/>
      <c r="R123" s="11" t="n"/>
      <c r="S123" s="23" t="inlineStr">
        <is>
          <t>Not income-tested</t>
        </is>
      </c>
      <c r="T123" s="23" t="inlineStr">
        <is>
          <t>Other statutes &amp; appropriations</t>
        </is>
      </c>
      <c r="U123" s="23" t="inlineStr">
        <is>
          <t>—</t>
        </is>
      </c>
      <c r="V123" s="23" t="inlineStr">
        <is>
          <t>N/A</t>
        </is>
      </c>
      <c r="W123" s="23" t="inlineStr">
        <is>
          <t>N/A</t>
        </is>
      </c>
      <c r="X123" s="23" t="inlineStr">
        <is>
          <t>Not applicable</t>
        </is>
      </c>
      <c r="Y123" s="23" t="inlineStr">
        <is>
          <t>Not applicable</t>
        </is>
      </c>
      <c r="Z123" s="23">
        <f>IF(X123="","",IF(X123="Excluded","Consistent",IF(X123="Counted","Inconsistent",IF(X123="Varies (grantee/agency choice)","Partly inconsistent",IF(X123="Not applicable","Not applicable","Needs check")))))</f>
        <v/>
      </c>
      <c r="AA123" s="23" t="inlineStr">
        <is>
          <t>No household income eligibility test: grants for legal assistance to youth with juvenile records.</t>
        </is>
      </c>
      <c r="AB123" s="23" t="inlineStr">
        <is>
          <t>Not a means-tested household benefit.</t>
        </is>
      </c>
      <c r="AC123" s="23" t="n"/>
      <c r="AD123" s="23" t="inlineStr">
        <is>
          <t>Not verified — low risk (not income-tested)</t>
        </is>
      </c>
    </row>
    <row r="124" ht="84.75" customHeight="1">
      <c r="A124" s="18" t="n">
        <v>105</v>
      </c>
      <c r="B124" s="19" t="inlineStr">
        <is>
          <t>FHA-Home Affordable Modification Program (FHA-HAMP)</t>
        </is>
      </c>
      <c r="C124" s="11" t="n"/>
      <c r="D124" s="19" t="inlineStr">
        <is>
          <t>Inactive Programs — Housing/FHA — Single Family Housing Programs</t>
        </is>
      </c>
      <c r="E124" s="11" t="n"/>
      <c r="F124" s="19" t="inlineStr">
        <is>
          <t>FHA-HAMP was an enhanced loss mitigation option that combined a loan modification with a partial claim, allowing homeowners to reduce monthly mortgage payment options and avoid foreclosure. Please note that FHA also uses this term to describe one of its current loss mitigation waterfall options.</t>
        </is>
      </c>
      <c r="G124" s="19" t="n"/>
      <c r="H124" s="19" t="n"/>
      <c r="I124" s="19" t="n"/>
      <c r="J124" s="11" t="n"/>
      <c r="K124" s="11" t="n"/>
      <c r="L124" s="11" t="n"/>
      <c r="M124" s="11" t="n"/>
      <c r="N124" s="11" t="n"/>
      <c r="O124" s="11" t="n"/>
      <c r="P124" s="11" t="n"/>
      <c r="Q124" s="11" t="n"/>
      <c r="R124" s="11" t="n"/>
      <c r="S124" s="23" t="inlineStr">
        <is>
          <t>Underwriting only</t>
        </is>
      </c>
      <c r="T124" s="23" t="inlineStr">
        <is>
          <t>National Housing Act (FHA &amp; mortgage insurance)</t>
        </is>
      </c>
      <c r="U124" s="23" t="inlineStr">
        <is>
          <t>National Housing Act (12 U.S.C. 1701 et seq.)</t>
        </is>
      </c>
      <c r="V124" s="23" t="inlineStr">
        <is>
          <t>N/A (credit underwriting, no income limit)</t>
        </is>
      </c>
      <c r="W124" s="23" t="inlineStr">
        <is>
          <t>N/A</t>
        </is>
      </c>
      <c r="X124" s="23" t="inlineStr">
        <is>
          <t>Not applicable</t>
        </is>
      </c>
      <c r="Y124" s="23" t="inlineStr">
        <is>
          <t>Not applicable</t>
        </is>
      </c>
      <c r="Z124" s="23">
        <f>IF(X124="","",IF(X124="Excluded","Consistent",IF(X124="Counted","Inconsistent",IF(X124="Varies (grantee/agency choice)","Partly inconsistent",IF(X124="Not applicable","Not applicable","Needs check")))))</f>
        <v/>
      </c>
      <c r="AA124" s="23" t="inlineStr">
        <is>
          <t>No HUD low-income eligibility test. Borrower income is assessed only for ability to repay under FHA underwriting.</t>
        </is>
      </c>
      <c r="AB124" s="23" t="inlineStr">
        <is>
          <t>Mortgage insurance/credit programs test repayment capacity, not need.</t>
        </is>
      </c>
      <c r="AC124" s="23" t="inlineStr">
        <is>
          <t>Claude's understanding (not verified): FHA underwriting (Handbook 4000.1) treats VA disability benefits as effective income and allows grossing up non-taxable income, which helps rather than hurts a veteran borrower.</t>
        </is>
      </c>
      <c r="AD124" s="23" t="inlineStr">
        <is>
          <t>Not verified — low risk (not income-tested)</t>
        </is>
      </c>
    </row>
    <row r="125" ht="57.75" customHeight="1">
      <c r="A125" s="18" t="n">
        <v>105</v>
      </c>
      <c r="B125" s="19" t="inlineStr">
        <is>
          <t>Mortgage Insurance for Manufactured Home Parks (Section 207)</t>
        </is>
      </c>
      <c r="C125" s="11" t="n"/>
      <c r="D125" s="19" t="inlineStr">
        <is>
          <t>Inactive Programs — Housing/FHA — Single Family Housing Programs</t>
        </is>
      </c>
      <c r="E125" s="11" t="n"/>
      <c r="F125" s="19" t="inlineStr">
        <is>
          <t>Provided mortgage insurance to help finance the construction or rehabilitation of manufactured home parks. HUD has not endorsed a loan under this program since 2013.</t>
        </is>
      </c>
      <c r="G125" s="19" t="n"/>
      <c r="H125" s="19" t="n"/>
      <c r="I125" s="19" t="n"/>
      <c r="J125" s="11" t="n"/>
      <c r="K125" s="11" t="n"/>
      <c r="L125" s="11" t="n"/>
      <c r="M125" s="11" t="n"/>
      <c r="N125" s="11" t="n"/>
      <c r="O125" s="11" t="n"/>
      <c r="P125" s="11" t="n"/>
      <c r="Q125" s="11" t="n"/>
      <c r="R125" s="11" t="n"/>
      <c r="S125" s="23" t="inlineStr">
        <is>
          <t>Underwriting only</t>
        </is>
      </c>
      <c r="T125" s="23" t="inlineStr">
        <is>
          <t>National Housing Act (FHA &amp; mortgage insurance)</t>
        </is>
      </c>
      <c r="U125" s="23" t="inlineStr">
        <is>
          <t>National Housing Act §207</t>
        </is>
      </c>
      <c r="V125" s="23" t="inlineStr">
        <is>
          <t>N/A (credit underwriting, no income limit)</t>
        </is>
      </c>
      <c r="W125" s="23" t="inlineStr">
        <is>
          <t>N/A</t>
        </is>
      </c>
      <c r="X125" s="23" t="inlineStr">
        <is>
          <t>Not applicable</t>
        </is>
      </c>
      <c r="Y125" s="23" t="inlineStr">
        <is>
          <t>Not applicable</t>
        </is>
      </c>
      <c r="Z125" s="23">
        <f>IF(X125="","",IF(X125="Excluded","Consistent",IF(X125="Counted","Inconsistent",IF(X125="Varies (grantee/agency choice)","Partly inconsistent",IF(X125="Not applicable","Not applicable","Needs check")))))</f>
        <v/>
      </c>
      <c r="AA125" s="23" t="inlineStr">
        <is>
          <t>No HUD low-income eligibility test. Borrower income is assessed only for ability to repay under FHA underwriting.</t>
        </is>
      </c>
      <c r="AB125" s="23" t="inlineStr">
        <is>
          <t>Mortgage insurance/credit programs test repayment capacity, not need.</t>
        </is>
      </c>
      <c r="AC125" s="23" t="inlineStr">
        <is>
          <t>Claude's understanding (not verified): FHA underwriting (Handbook 4000.1) treats VA disability benefits as effective income and allows grossing up non-taxable income, which helps rather than hurts a veteran borrower.</t>
        </is>
      </c>
      <c r="AD125" s="23" t="inlineStr">
        <is>
          <t>Not verified — low risk (not income-tested)</t>
        </is>
      </c>
    </row>
    <row r="126" ht="71.25" customHeight="1">
      <c r="A126" s="18" t="n">
        <v>105</v>
      </c>
      <c r="B126" s="19" t="inlineStr">
        <is>
          <t>Congregate Housing Services Program (CHSP)</t>
        </is>
      </c>
      <c r="C126" s="11" t="n"/>
      <c r="D126" s="19" t="inlineStr">
        <is>
          <t>Inactive Programs — Housing/FHA — Multifamily Housing Programs</t>
        </is>
      </c>
      <c r="E126" s="11" t="n"/>
      <c r="F126" s="19" t="inlineStr">
        <is>
          <t>Federal grants to eligible housing projects for the elderly and persons with disabilities. HUD has neither solicited nor funded applications for new grants under CHSP since 1995, but Congress has provided funds to extend expiring grants on an annual basis.</t>
        </is>
      </c>
      <c r="G126" s="19" t="n"/>
      <c r="H126" s="19" t="n"/>
      <c r="I126" s="19" t="n"/>
      <c r="J126" s="11" t="n"/>
      <c r="K126" s="11" t="n"/>
      <c r="L126" s="11" t="n"/>
      <c r="M126" s="11" t="n"/>
      <c r="N126" s="11" t="n"/>
      <c r="O126" s="11" t="n"/>
      <c r="P126" s="11" t="n"/>
      <c r="Q126" s="11" t="n"/>
      <c r="R126" s="11" t="n"/>
      <c r="S126" s="23" t="inlineStr">
        <is>
          <t>Via underlying program</t>
        </is>
      </c>
      <c r="T126" s="23" t="inlineStr">
        <is>
          <t>Sec. 202 / Sec. 811 (elderly &amp; disabled housing)</t>
        </is>
      </c>
      <c r="U126" s="23" t="inlineStr">
        <is>
          <t>Eligibility inherited from public housing and assisted multifamily programs (Part 5)</t>
        </is>
      </c>
      <c r="V126" s="23" t="inlineStr">
        <is>
          <t>N/A (no separate income determination)</t>
        </is>
      </c>
      <c r="W126" s="23" t="inlineStr">
        <is>
          <t>N/A</t>
        </is>
      </c>
      <c r="X126" s="23" t="inlineStr">
        <is>
          <t>Not applicable</t>
        </is>
      </c>
      <c r="Y126" s="23" t="inlineStr">
        <is>
          <t>Not applicable</t>
        </is>
      </c>
      <c r="Z126" s="23">
        <f>IF(X126="","",IF(X126="Excluded","Consistent",IF(X126="Counted","Inconsistent",IF(X126="Varies (grantee/agency choice)","Partly inconsistent",IF(X126="Not applicable","Not applicable","Needs check")))))</f>
        <v/>
      </c>
      <c r="AA126" s="23" t="inlineStr">
        <is>
          <t>No separate household income determination; participants are already income-qualified under public housing and assisted multifamily programs (Part 5), where VA compensation is treated as shown on that program's row.</t>
        </is>
      </c>
      <c r="AB126" s="23" t="inlineStr">
        <is>
          <t>Program funds services, capital, or operations for households assisted under another program.</t>
        </is>
      </c>
      <c r="AC126" s="23" t="inlineStr">
        <is>
          <t>Services for frail elderly residents; eligibility is based on functional need.</t>
        </is>
      </c>
      <c r="AD126" s="23" t="inlineStr">
        <is>
          <t>Not verified — low risk (not income-tested)</t>
        </is>
      </c>
    </row>
    <row r="127" ht="84.75" customHeight="1">
      <c r="A127" s="18" t="n">
        <v>105</v>
      </c>
      <c r="B127" s="19" t="inlineStr">
        <is>
          <t>Senior Preservation Rental Assistance Contracts (SPRAC)</t>
        </is>
      </c>
      <c r="C127" s="11" t="n"/>
      <c r="D127" s="19" t="inlineStr">
        <is>
          <t>Inactive Programs — Housing/FHA — Multifamily Housing Programs</t>
        </is>
      </c>
      <c r="E127" s="11" t="n"/>
      <c r="F127" s="19" t="inlineStr">
        <is>
          <t>The purpose of the SPRAC Program is to prevent the displacement of currently unassisted income-eligible elderly residents residing in eligible Section 202 Direct Loan properties that may result from the owner’s refinancing or recapitalization of the property.</t>
        </is>
      </c>
      <c r="G127" s="19" t="n"/>
      <c r="H127" s="19" t="n"/>
      <c r="I127" s="19" t="n"/>
      <c r="J127" s="11" t="n"/>
      <c r="K127" s="11" t="n"/>
      <c r="L127" s="11" t="n"/>
      <c r="M127" s="11" t="n"/>
      <c r="N127" s="11" t="n"/>
      <c r="O127" s="11" t="n"/>
      <c r="P127" s="11" t="n"/>
      <c r="Q127" s="11" t="n"/>
      <c r="R127" s="11" t="n"/>
      <c r="S127" s="23" t="inlineStr">
        <is>
          <t>Household income test</t>
        </is>
      </c>
      <c r="T127" s="23" t="inlineStr">
        <is>
          <t>Sec. 202 / Sec. 811 (elderly &amp; disabled housing)</t>
        </is>
      </c>
      <c r="U127" s="23" t="inlineStr">
        <is>
          <t>Section 202 authority (appropriations); 24 CFR 5.601; 5.609</t>
        </is>
      </c>
      <c r="V127" s="23" t="inlineStr">
        <is>
          <t>Part 5 annual income (24 CFR 5.609)</t>
        </is>
      </c>
      <c r="W127" s="23" t="inlineStr">
        <is>
          <t>Mandatory</t>
        </is>
      </c>
      <c r="X127" s="23" t="inlineStr">
        <is>
          <t>Counted</t>
        </is>
      </c>
      <c r="Y127" s="23" t="inlineStr">
        <is>
          <t>Counted</t>
        </is>
      </c>
      <c r="Z127" s="23">
        <f>IF(X127="","",IF(X127="Excluded","Consistent",IF(X127="Counted","Inconsistent",IF(X127="Varies (grantee/agency choice)","Partly inconsistent",IF(X127="Not applicable","Not applicable","Needs check")))))</f>
        <v/>
      </c>
      <c r="AA127" s="23" t="inlineStr">
        <is>
          <t>Current VA service-connected disability compensation is not among the 24 CFR 5.609(b) exclusions, so it is annual income. Only deferred VA disability amounts received as a lump sum or prospective monthly amounts (5.609(b)(16)) and aid &amp; attendance under 38 U.S.C. 1521 (5.609(b)(17)) are excluded; the statute (42 U.S.C. 1437a(b)(4)(B)(iii), (vi)) mirrors this.</t>
        </is>
      </c>
      <c r="AB127" s="23" t="inlineStr">
        <is>
          <t>SPRAC rental assistance for elderly residents of Section 202 Direct Loan properties uses the Part 5 rules HUD applies to Section 202.</t>
        </is>
      </c>
      <c r="AC127" s="23" t="inlineStr">
        <is>
          <t>Application of Part 5 to SPRAC inferred from its Section 202 basis.</t>
        </is>
      </c>
      <c r="AD127" s="23" t="inlineStr">
        <is>
          <t>Partly verified</t>
        </is>
      </c>
    </row>
    <row r="128" ht="229.5" customHeight="1">
      <c r="A128" s="18" t="n">
        <v>105</v>
      </c>
      <c r="B128" s="19" t="inlineStr">
        <is>
          <t>Supportive Services Demonstration (IWISH)</t>
        </is>
      </c>
      <c r="C128" s="11" t="n"/>
      <c r="D128" s="19" t="inlineStr">
        <is>
          <t>Inactive Programs — Housing/FHA — Multifamily Housing Programs</t>
        </is>
      </c>
      <c r="E128" s="11" t="n"/>
      <c r="F128" s="19" t="inlineStr">
        <is>
          <t>The Supportive Services Demonstration for Elderly Households in HUD-Assisted Multifamily Housing tests the Integrated Wellness in Supportive Housing (IWISH) model, funded onsite staff (Resident Wellness Director and a Wellness nurse) at HUD-assisted housing developments that either predominantly or exclusively served households aged 62 and over. A NOFO was last published for Fiscal Year 2015. The following names table and index are intended to assist readers in finding programs that are often referred to using the shorthand of their statutory designation, both in this document and in statutes. Commonly Used Program Names Table Title I Program Name Community Development Block Grants I Property Improvement Loans and Manufactured Home Loans Non-Discrimination on the Basis of Disability by Public Entities in HousingRelated Programs, Services, and Activities Equal Opportunity in HUD-Assisted Programs II VI VI Title VI Loan Guarantee Program VIII X Fair Housing Act Lead Hazard Control Section 203(b) 203(k) Program Name Economic Opportunities for Low- and Very Low-Income Persons Low-Income Rental Assistance Section 108 Loan Guarantees Nondiscrimination in Programs and Activities Receiving Assistance Under Title I of the Housing and Community Development Act of 1974 Indian Home Loan Guarantees Supportive Housing for the Elderly One- to Four-Family Home Mortgage Insurance Rehabilitation Mortgage Insurance Multifamily Rental Housing Cooperative Housing Statute Housing and Community Development Act of 1974 National Housing Act Americans with Disabilities Act Civil Rights Act of 1964 Section 504 of the Rehabilitation Act Civil Rights Act of 1968 Native American Housing Assistance and Self-Determination Act of 1996 Civil Rights Act of 1968 Housing and Community Development Act of 1992 Statute Housing and Urban Development Act of 1968 United States Housing Act of 1937 Housing and Community Development Act of 1974 Housing and Community Development Act of 1974 Housing and Community Development Act of 1992 Housing Act of 1959 National Housing Act National Housing Act National Housing Act National Housing Act Section Program Name 221(d)(2) Homeownership Assistance for Low- and Moderate-Income Families 221(d)(3) Multifamily Rental Housing for ModerateIncome Families 223(f) Existing Multifamily Rental Housing Mortgage Insurance for Housing for the Elderly Nursing Homes, Intermediate Care Facilities, and Board and Care Homes Condominium Housing Hospitals Home Equity Conversion Mortgage (HECM) Non-Discrimination on the Basis of Disability in HUD-Assisted Programs Supportive Housing for Persons with Disabilities Statute National Housing Act National Housing Act National Housing Act National Housing Act National Housing Act National Housing Act National Housing Act National Housing Act Rehabilitation Act of 1973 Housing Act of 1959 Program Index American Rescue Plan Act ..................... 100 Appropriations, 2012 RAD...................................................... 97 Appropriations, 2014 IWISH ................................................ 107 Appropriations, 2015 Tribal HUD-VASH .............................. 98 Appropriations, 2016 Resident Opportunity and SelfSufficiency (ROSS) for Education Program .......................................... 105 Youth Homelessness Demo.................. 98 Appropriations, 2019 Mobility Demonstration (Community Mobility Choice Demonstration ...... 99 Appropriations, 2023 .............................. 101 PRICE ................................................. 101 PRO Housing ...................................... 101 Book-Rich Environments Initiative .......... 57 Capacity Building for Community Development and Affordable Housing ... 8 Choice Neighborhoods.............................. 58 CHSP....................................................... 106 Community Compass Technical Assistance and Capacity Building Program ............ 86 Community Development Block Grants (CDBG) Disaster Recovery Assistance ................ 9 Entitlement ........................................... 11 For Insular Areas .................................. 13 Indian .................................................... 71 Non-Entitlement for States and Small Cities ................................................ 14 Section 108 Loan Guarantee ................ 15 Competitive EDI Grants ......................... 105 ConnectHomeUSA ................................... 59 Continuum of Care Program ..................... 17 Davis-Bacon and Labor Standards............ 90 Defense Authorization, 2015 Veteran Home Repair Demo .............. 106 Emergency Solutions Grants (ESG) ......... 18 Energy Efficient Mortgage Program ......... 26 Equal Opportunity ..................................... 77 Fair Housing Act ....................................... 80 Fair Housing Assistance (FHAP).............. 82 Fair Housing Initiatives (FHIP) ................ 83 Family Self-Sufficiency ............................ 60 FHA-Home Affordable Modification Program ............................................... 106 Ginnie Mae Mortgage-Backed Securities I .............. 92 Multiclass Securities............................. 93 Good Neighbor Next Door........................ 27 HECM ....................................................... 28 HERA........................................................ 97 Tax Credit Pilot .................................... 97 HOME Investment Partnerships ............... 20 Housing Choice Voucher Program ........... 61 Housing Counseling Program ................... 56 Housing Opportunities for Persons With AIDS ..................................................... 22 Housing Trust Fund .................................. 23 Indian Housing Block Grants.................... 72 Inflation Reduction Act........................... 101 Green and Resilient Retrofit Program (GRRP) .......................................... 101 Interagency Council on Homelessness ... 104 Jobs Plus.................................................... 64 Juvenile Reentry Assistance Program ..... 106 Lead Hazard Control and Healthy Homes 95 Loss Mitigation ......................................... 31 MAHRA.................................................... 50 Manufactured Home Construction and Safety Standards.................................... 40 Mark-to-Market Program .......................... 41 Moving to Work........................................ 65 Multifamily Housing Service Coordinators ............................................................... 47 Native Hawaiian Housing Block Grants ... 75 Neighborhood Reinvestment Corporation ............................................................. 102 Policy Development and Research ........... 85 Project-Based Vouchers ............................ 66 Public Housing Capital Fund .................... 67 Public Housing Operating Fund................ 69 ROSS......................................................... 70 Rural Capacity Building ........................... 24 Rural Housing Stability Assistance ........ 105 Section 184................................................ 73 Section 184A............................................. 74 Section 202................................................ 51 Section 203................................................ 34 Section 203(h) ........................................... 33 Section 203(k) ........................................... 37 Section 204(g) ........................................... 38 Section 207.............................................. 106 Section 207/223(f) .................................... 43 Section 213................................................ 42 Section 220................................................ 45 Section 221(d)(3) and (4) .......................... 49 Section 231................................................ 44 Section 232................................................ 55 Section 232/223(f) .................................... 55 Section 241................................................ 46 Section 242................................................ 54 Section 247................................................ 30 Section 248................................................ 35 Section 251................................................ 29 Section 3.................................................... 91 Section 32.................................................. 68 Section 542(b) and (c) ............................... 48 Section 811................................................ 52 SHOP ........................................................ 25 Title I Manufactured Homes Loan Insurance . 32 Property Improvement Loan Insurance 36 Title V ....................................................... 19 Title VI ...................................................... 76</t>
        </is>
      </c>
      <c r="G128" s="19" t="n"/>
      <c r="H128" s="19" t="n"/>
      <c r="I128" s="19" t="n"/>
      <c r="J128" s="11" t="n"/>
      <c r="K128" s="11" t="n"/>
      <c r="L128" s="11" t="n"/>
      <c r="M128" s="11" t="n"/>
      <c r="N128" s="11" t="n"/>
      <c r="O128" s="11" t="n"/>
      <c r="P128" s="11" t="n"/>
      <c r="Q128" s="11" t="n"/>
      <c r="R128" s="11" t="n"/>
      <c r="S128" s="23" t="inlineStr">
        <is>
          <t>Via underlying program</t>
        </is>
      </c>
      <c r="T128" s="23" t="inlineStr">
        <is>
          <t>Sec. 202 / Sec. 811 (elderly &amp; disabled housing)</t>
        </is>
      </c>
      <c r="U128" s="23" t="inlineStr">
        <is>
          <t>Eligibility inherited from assisted multifamily programs (Part 5)</t>
        </is>
      </c>
      <c r="V128" s="23" t="inlineStr">
        <is>
          <t>N/A (no separate income determination)</t>
        </is>
      </c>
      <c r="W128" s="23" t="inlineStr">
        <is>
          <t>N/A</t>
        </is>
      </c>
      <c r="X128" s="23" t="inlineStr">
        <is>
          <t>Not applicable</t>
        </is>
      </c>
      <c r="Y128" s="23" t="inlineStr">
        <is>
          <t>Not applicable</t>
        </is>
      </c>
      <c r="Z128" s="23">
        <f>IF(X128="","",IF(X128="Excluded","Consistent",IF(X128="Counted","Inconsistent",IF(X128="Varies (grantee/agency choice)","Partly inconsistent",IF(X128="Not applicable","Not applicable","Needs check")))))</f>
        <v/>
      </c>
      <c r="AA128" s="23" t="inlineStr">
        <is>
          <t>No separate household income determination; participants are already income-qualified under assisted multifamily programs (Part 5), where VA compensation is treated as shown on that program's row.</t>
        </is>
      </c>
      <c r="AB128" s="23" t="inlineStr">
        <is>
          <t>Program funds services, capital, or operations for households assisted under another program.</t>
        </is>
      </c>
      <c r="AC128" s="23" t="inlineStr">
        <is>
          <t>Services demonstration.</t>
        </is>
      </c>
      <c r="AD128" s="23" t="inlineStr">
        <is>
          <t>Not verified — low risk (not income-tested)</t>
        </is>
      </c>
    </row>
    <row r="129" ht="21.75" customHeight="1">
      <c r="A129" s="4" t="inlineStr">
        <is>
          <t>UNMATCHED — FPI (HUD) entries with no matching Programs of HUD entry (13 programs)</t>
        </is>
      </c>
    </row>
    <row r="130" ht="229.5" customHeight="1">
      <c r="A130" s="11" t="n"/>
      <c r="B130" s="11" t="n"/>
      <c r="C130" s="20" t="inlineStr">
        <is>
          <t>Mortgage Insurance Homes in Urban Renewal Areas</t>
        </is>
      </c>
      <c r="D130" s="11" t="n"/>
      <c r="E130" s="20" t="inlineStr">
        <is>
          <t>Assistant Secretary for Housing -- Federal Housing Commissioner</t>
        </is>
      </c>
      <c r="F130" s="11" t="n"/>
      <c r="G130" s="11" t="n"/>
      <c r="H130" s="11" t="n"/>
      <c r="I130" s="11" t="n"/>
      <c r="J130" s="20" t="inlineStr">
        <is>
          <t>14.122</t>
        </is>
      </c>
      <c r="K130" s="20" t="inlineStr">
        <is>
          <t>(220 Homes)</t>
        </is>
      </c>
      <c r="L130" s="20" t="inlineStr">
        <is>
          <t>To help eligible entities to purchase and/or rehabilitate homes in urban renewal areas.</t>
        </is>
      </c>
      <c r="M130" s="20" t="inlineStr">
        <is>
          <t>Guaranteed / Insured Loans</t>
        </is>
      </c>
      <c r="N130" s="20" t="inlineStr">
        <is>
          <t>Anyone/general public,Individual/Family</t>
        </is>
      </c>
      <c r="O130" s="20" t="inlineStr">
        <is>
          <t>Anyone/general public,Individual/Family,Local (includes State-designated lndian Tribes, excludes institutions of higher education and hospitals,Non-Government - General,Other private institutions/organizations,Other public institution/organization,Private nonprofit institution/organization (includes institutions of higher education and hospitals),Profit organization,Public nonprofit institution/organization (includes institutions of higher education and hospitals),Sponsored organization,State</t>
        </is>
      </c>
      <c r="P130" s="22" t="n">
        <v>0</v>
      </c>
      <c r="Q130" s="22" t="n">
        <v>0</v>
      </c>
      <c r="R130" s="22" t="n">
        <v>0</v>
      </c>
      <c r="S130" s="23" t="inlineStr">
        <is>
          <t>Underwriting only</t>
        </is>
      </c>
      <c r="T130" s="23" t="inlineStr">
        <is>
          <t>National Housing Act (FHA &amp; mortgage insurance)</t>
        </is>
      </c>
      <c r="U130" s="23" t="inlineStr">
        <is>
          <t>National Housing Act §220</t>
        </is>
      </c>
      <c r="V130" s="23" t="inlineStr">
        <is>
          <t>N/A (credit underwriting, no income limit)</t>
        </is>
      </c>
      <c r="W130" s="23" t="inlineStr">
        <is>
          <t>N/A</t>
        </is>
      </c>
      <c r="X130" s="23" t="inlineStr">
        <is>
          <t>Not applicable</t>
        </is>
      </c>
      <c r="Y130" s="23" t="inlineStr">
        <is>
          <t>Not applicable</t>
        </is>
      </c>
      <c r="Z130" s="23">
        <f>IF(X130="","",IF(X130="Excluded","Consistent",IF(X130="Counted","Inconsistent",IF(X130="Varies (grantee/agency choice)","Partly inconsistent",IF(X130="Not applicable","Not applicable","Needs check")))))</f>
        <v/>
      </c>
      <c r="AA130" s="23" t="inlineStr">
        <is>
          <t>No HUD low-income eligibility test. Borrower income is assessed only for ability to repay under FHA underwriting.</t>
        </is>
      </c>
      <c r="AB130" s="23" t="inlineStr">
        <is>
          <t>Mortgage insurance/credit programs test repayment capacity, not need.</t>
        </is>
      </c>
      <c r="AC130" s="23" t="inlineStr">
        <is>
          <t>Claude's understanding (not verified): FHA underwriting (Handbook 4000.1) treats VA disability benefits as effective income and allows grossing up non-taxable income, which helps rather than hurts a veteran borrower.</t>
        </is>
      </c>
      <c r="AD130" s="23" t="inlineStr">
        <is>
          <t>Not verified — low risk (not income-tested)</t>
        </is>
      </c>
    </row>
    <row r="131" ht="57.75" customHeight="1">
      <c r="A131" s="11" t="n"/>
      <c r="B131" s="11" t="n"/>
      <c r="C131" s="20" t="inlineStr">
        <is>
          <t>Mortgage Insurance Purchase of Units in Condominiums</t>
        </is>
      </c>
      <c r="D131" s="11" t="n"/>
      <c r="E131" s="20" t="inlineStr">
        <is>
          <t>Assistant Secretary for Housing -- Federal Housing Commissioner</t>
        </is>
      </c>
      <c r="F131" s="11" t="n"/>
      <c r="G131" s="11" t="n"/>
      <c r="H131" s="11" t="n"/>
      <c r="I131" s="11" t="n"/>
      <c r="J131" s="20" t="inlineStr">
        <is>
          <t>14.133</t>
        </is>
      </c>
      <c r="K131" s="20" t="inlineStr">
        <is>
          <t>Mortgage Insurance- Condominium Units</t>
        </is>
      </c>
      <c r="L131" s="20" t="inlineStr">
        <is>
          <t>To enable individuals and families to purchase or refinance eligible units in  condominium projects.</t>
        </is>
      </c>
      <c r="M131" s="20" t="inlineStr">
        <is>
          <t>Guaranteed / Insured Loans</t>
        </is>
      </c>
      <c r="N131" s="20" t="inlineStr">
        <is>
          <t>Anyone/general public,Individual/Family</t>
        </is>
      </c>
      <c r="O131" s="20" t="inlineStr">
        <is>
          <t>Individual/Family</t>
        </is>
      </c>
      <c r="P131" s="22" t="n">
        <v>0</v>
      </c>
      <c r="Q131" s="22" t="n">
        <v>0</v>
      </c>
      <c r="R131" s="22" t="n">
        <v>0</v>
      </c>
      <c r="S131" s="23" t="inlineStr">
        <is>
          <t>Underwriting only</t>
        </is>
      </c>
      <c r="T131" s="23" t="inlineStr">
        <is>
          <t>National Housing Act (FHA &amp; mortgage insurance)</t>
        </is>
      </c>
      <c r="U131" s="23" t="inlineStr">
        <is>
          <t>National Housing Act §234</t>
        </is>
      </c>
      <c r="V131" s="23" t="inlineStr">
        <is>
          <t>N/A (credit underwriting, no income limit)</t>
        </is>
      </c>
      <c r="W131" s="23" t="inlineStr">
        <is>
          <t>N/A</t>
        </is>
      </c>
      <c r="X131" s="23" t="inlineStr">
        <is>
          <t>Not applicable</t>
        </is>
      </c>
      <c r="Y131" s="23" t="inlineStr">
        <is>
          <t>Not applicable</t>
        </is>
      </c>
      <c r="Z131" s="23">
        <f>IF(X131="","",IF(X131="Excluded","Consistent",IF(X131="Counted","Inconsistent",IF(X131="Varies (grantee/agency choice)","Partly inconsistent",IF(X131="Not applicable","Not applicable","Needs check")))))</f>
        <v/>
      </c>
      <c r="AA131" s="23" t="inlineStr">
        <is>
          <t>No HUD low-income eligibility test. Borrower income is assessed only for ability to repay under FHA underwriting.</t>
        </is>
      </c>
      <c r="AB131" s="23" t="inlineStr">
        <is>
          <t>Mortgage insurance/credit programs test repayment capacity, not need.</t>
        </is>
      </c>
      <c r="AC131" s="23" t="inlineStr">
        <is>
          <t>Claude's understanding (not verified): FHA underwriting (Handbook 4000.1) treats VA disability benefits as effective income and allows grossing up non-taxable income, which helps rather than hurts a veteran borrower.</t>
        </is>
      </c>
      <c r="AD131" s="23" t="inlineStr">
        <is>
          <t>Not verified — low risk (not income-tested)</t>
        </is>
      </c>
    </row>
    <row r="132" ht="125.25" customHeight="1">
      <c r="A132" s="11" t="n"/>
      <c r="B132" s="11" t="n"/>
      <c r="C132" s="20" t="inlineStr">
        <is>
          <t>Section 8 Moderate Rehabilitation Single Room Occupancy</t>
        </is>
      </c>
      <c r="D132" s="11" t="n"/>
      <c r="E132" s="20" t="inlineStr">
        <is>
          <t>Assistant Secretary for Community Planning and Development</t>
        </is>
      </c>
      <c r="F132" s="11" t="n"/>
      <c r="G132" s="11" t="n"/>
      <c r="H132" s="11" t="n"/>
      <c r="I132" s="11" t="n"/>
      <c r="J132" s="20" t="inlineStr">
        <is>
          <t>14.249</t>
        </is>
      </c>
      <c r="K132" s="20" t="n"/>
      <c r="L132" s="20" t="inlineStr">
        <is>
          <t>The Section 8 Moderate Rehabilitation Single Room Occupancy Program provides rental assistance to homeless individuals. Under the program, HUD entered into Annual Contributions Contracts (ACCs) with public housing agencies (PHAs) in connection with the moderate rehabilitation of residential properties that, when rehabilitation is completed, will contain multiple single room dwelling units.  Funding for new projects ceased after 2011.  Expiring contracts are now renewed.</t>
        </is>
      </c>
      <c r="M132" s="20" t="inlineStr">
        <is>
          <t>Project Grants</t>
        </is>
      </c>
      <c r="N132" s="20" t="inlineStr">
        <is>
          <t>Individual/Family</t>
        </is>
      </c>
      <c r="O132" s="20" t="inlineStr">
        <is>
          <t>Private nonprofit institution/organization (includes institutions of higher education and hospitals)</t>
        </is>
      </c>
      <c r="P132" s="22" t="n">
        <v>0</v>
      </c>
      <c r="Q132" s="22" t="n">
        <v>67118327</v>
      </c>
      <c r="R132" s="22" t="n">
        <v>64836067</v>
      </c>
      <c r="S132" s="23" t="inlineStr">
        <is>
          <t>Household income test</t>
        </is>
      </c>
      <c r="T132" s="23" t="inlineStr">
        <is>
          <t>U.S. Housing Act of 1937 (public housing &amp; Section 8)</t>
        </is>
      </c>
      <c r="U132" s="23" t="inlineStr">
        <is>
          <t>42 U.S.C. 1437f (Mod Rehab) and McKinney-Vento SRO; 24 CFR part 882; 5.609</t>
        </is>
      </c>
      <c r="V132" s="23" t="inlineStr">
        <is>
          <t>Part 5 annual income (24 CFR 5.609)</t>
        </is>
      </c>
      <c r="W132" s="23" t="inlineStr">
        <is>
          <t>Mandatory</t>
        </is>
      </c>
      <c r="X132" s="23" t="inlineStr">
        <is>
          <t>Counted</t>
        </is>
      </c>
      <c r="Y132" s="23" t="inlineStr">
        <is>
          <t>Counted</t>
        </is>
      </c>
      <c r="Z132" s="23">
        <f>IF(X132="","",IF(X132="Excluded","Consistent",IF(X132="Counted","Inconsistent",IF(X132="Varies (grantee/agency choice)","Partly inconsistent",IF(X132="Not applicable","Not applicable","Needs check")))))</f>
        <v/>
      </c>
      <c r="AA132" s="23" t="inlineStr">
        <is>
          <t>Current VA service-connected disability compensation is not among the 24 CFR 5.609(b) exclusions, so it is annual income. Only deferred VA disability amounts received as a lump sum or prospective monthly amounts (5.609(b)(16)) and aid &amp; attendance under 38 U.S.C. 1521 (5.609(b)(17)) are excluded; the statute (42 U.S.C. 1437a(b)(4)(B)(iii), (vi)) mirrors this.</t>
        </is>
      </c>
      <c r="AB132" s="23" t="inlineStr">
        <is>
          <t>The 1937 Act itself defines 'income' as income from all sources minus enumerated exclusions; HUD implements it uniformly through Part 5 because these programs set ongoing tenant rent from adjusted income (5.611).</t>
        </is>
      </c>
      <c r="AC132" s="23" t="n"/>
      <c r="AD132" s="23" t="inlineStr">
        <is>
          <t>Partly verified</t>
        </is>
      </c>
    </row>
    <row r="133" ht="229.5" customHeight="1">
      <c r="A133" s="11" t="n"/>
      <c r="B133" s="11" t="n"/>
      <c r="C133" s="20" t="inlineStr">
        <is>
          <t>Neighborhood Stabilization Program (Recovery Act Funded)</t>
        </is>
      </c>
      <c r="D133" s="11" t="n"/>
      <c r="E133" s="20" t="inlineStr">
        <is>
          <t>Office of Community Planning and Development</t>
        </is>
      </c>
      <c r="F133" s="11" t="n"/>
      <c r="G133" s="11" t="n"/>
      <c r="H133" s="11" t="n"/>
      <c r="I133" s="11" t="n"/>
      <c r="J133" s="20" t="inlineStr">
        <is>
          <t>14.256</t>
        </is>
      </c>
      <c r="K133" s="20" t="n"/>
      <c r="L133" s="20" t="inlineStr">
        <is>
          <t xml:space="preserve">Neighborhood stabilization through acquisition and rehabilitation, land banking, disposition, or demolition of abandoned and foreclosed residential property.  Also, to develop viable urban communities, by providing decent housing and a suitable living environment, and by expanding economic opportunities, principally for persons of low and moderate income.
</t>
        </is>
      </c>
      <c r="M133" s="20" t="inlineStr">
        <is>
          <t>Project Grants</t>
        </is>
      </c>
      <c r="N133" s="20" t="inlineStr">
        <is>
          <t>Low Income</t>
        </is>
      </c>
      <c r="O133" s="20" t="inlineStr">
        <is>
          <t>Government - General,Local (includes State-designated lndian Tribes, excludes institutions of higher education and hospitals,Private nonprofit institution/organization (includes institutions of higher education and hospitals),Public nonprofit institution/organization (includes institutions of higher education and hospitals),State (includes District of Columbia, public institutions of higher education and hospitals)</t>
        </is>
      </c>
      <c r="P133" s="22" t="n">
        <v>0</v>
      </c>
      <c r="Q133" s="22" t="n">
        <v>0</v>
      </c>
      <c r="R133" s="22" t="n">
        <v>0</v>
      </c>
      <c r="S133" s="23" t="inlineStr">
        <is>
          <t>Household income test</t>
        </is>
      </c>
      <c r="T133" s="23" t="inlineStr">
        <is>
          <t>HCDA Title I (CDBG family)</t>
        </is>
      </c>
      <c r="U133" s="23" t="inlineStr">
        <is>
          <t>HERA 2008 §2301; ARRA (NSP2); 24 CFR 570.3 (via NSP notices)</t>
        </is>
      </c>
      <c r="V133" s="23" t="inlineStr">
        <is>
          <t>Part 5 / Census long-form / IRS 1040 AGI (grantee picks per activity)</t>
        </is>
      </c>
      <c r="W133" s="23" t="inlineStr">
        <is>
          <t>Grantee menu</t>
        </is>
      </c>
      <c r="X133" s="23" t="inlineStr">
        <is>
          <t>Unclear / needs check</t>
        </is>
      </c>
      <c r="Y133" s="23" t="inlineStr">
        <is>
          <t>Not applicable</t>
        </is>
      </c>
      <c r="Z133" s="23">
        <f>IF(X133="","",IF(X133="Excluded","Consistent",IF(X133="Counted","Inconsistent",IF(X133="Varies (grantee/agency choice)","Partly inconsistent",IF(X133="Not applicable","Not applicable","Needs check")))))</f>
        <v/>
      </c>
      <c r="AA133" s="23" t="inlineStr">
        <is>
          <t>PL 119-70 §2 (Jan. 20, 2026) requires a State, unit of general local government, or Indian tribe to exclude VA service-connected disability compensation when determining whether a person is low/moderate income. HUD implemented it sub-regulatorily in Notice CPD-26-09 (posted Sept. 4, 2026). 24 CFR 570.3 has not been amended: its Census option still lists 'Veterans' (VA) payments' as income.</t>
        </is>
      </c>
      <c r="AB133" s="23" t="inlineStr">
        <is>
          <t>HCDA sets income limits (80% AMI) but left the income definition to HUD, which offered a three-definition menu (1995) to ease local administration. Before PL 119-70, treatment depended on the definition: counted under Part 5 and Census, excluded under IRS 1040 (compensation is non-taxable). Congress cited that inconsistency (H. Rept. 118-652).</t>
        </is>
      </c>
      <c r="AC133" s="23" t="inlineStr">
        <is>
          <t>NSP's income ceiling is HERA §2301's 120% AMI 'low, moderate, and middle income' standard, not HCDA §102(a)(20) alone, so whether PL 119-70 reaches NSP is unclear; the research report says CPD-26-09 is tagged to NSP (not verified). Statute (5302(a)(20)(C)) and 570.3 read this session; CPD-26-09's existence and date confirmed but its text could not be retrieved.</t>
        </is>
      </c>
      <c r="AD133" s="23" t="inlineStr">
        <is>
          <t>Partly verified</t>
        </is>
      </c>
    </row>
    <row r="134" ht="179.25" customHeight="1">
      <c r="A134" s="11" t="n"/>
      <c r="B134" s="11" t="n"/>
      <c r="C134" s="20" t="inlineStr">
        <is>
          <t>National Homeless Data Analysis Project (NHDAP)</t>
        </is>
      </c>
      <c r="D134" s="11" t="n"/>
      <c r="E134" s="20" t="inlineStr">
        <is>
          <t>Assistant Secretary for Community Planning and Development</t>
        </is>
      </c>
      <c r="F134" s="11" t="n"/>
      <c r="G134" s="11" t="n"/>
      <c r="H134" s="11" t="n"/>
      <c r="I134" s="11" t="n"/>
      <c r="J134" s="20" t="inlineStr">
        <is>
          <t>14.261</t>
        </is>
      </c>
      <c r="K134" s="20" t="inlineStr">
        <is>
          <t>National Homeless Data Analysis Project (NHDAP)</t>
        </is>
      </c>
      <c r="L134" s="20" t="inlineStr">
        <is>
          <t>National Homeless Data Analysis Project (NHDAP) provides critical resources to HUD and the homelessness response systems to improve homelessness response data collection, analysis, and reporting; integrate data collection efforts in Homeless Management Information Systems (HMIS) with other federal funding streams; enhance the ability for HUD and communities to report and analyze data about persons experiencing homelessness; produce standards and specifications for data entry and reporting for all HMIS-generated reports, analyze point-in-time and longitudinal analysis system data to produce the Annual Homeless Assessment Report (AHAR); and provide technical assistance on HMIS implementation.</t>
        </is>
      </c>
      <c r="M134" s="20" t="inlineStr">
        <is>
          <t>Project Grants</t>
        </is>
      </c>
      <c r="N134" s="20" t="inlineStr">
        <is>
          <t>Local,Private nonprofit institution/organization,Public nonprofit institution/organization,State</t>
        </is>
      </c>
      <c r="O134" s="20" t="inlineStr">
        <is>
          <t>Non-Government - General,Other public institution/organization,State</t>
        </is>
      </c>
      <c r="P134" s="22" t="n">
        <v>0</v>
      </c>
      <c r="Q134" s="22" t="n">
        <v>-588329.39</v>
      </c>
      <c r="R134" s="22" t="n">
        <v>-175157.19</v>
      </c>
      <c r="S134" s="23" t="inlineStr">
        <is>
          <t>Not income-tested</t>
        </is>
      </c>
      <c r="T134" s="23" t="inlineStr">
        <is>
          <t>McKinney-Vento / AIDS Housing Opportunity Act</t>
        </is>
      </c>
      <c r="U134" s="23" t="inlineStr">
        <is>
          <t>—</t>
        </is>
      </c>
      <c r="V134" s="23" t="inlineStr">
        <is>
          <t>N/A</t>
        </is>
      </c>
      <c r="W134" s="23" t="inlineStr">
        <is>
          <t>N/A</t>
        </is>
      </c>
      <c r="X134" s="23" t="inlineStr">
        <is>
          <t>Not applicable</t>
        </is>
      </c>
      <c r="Y134" s="23" t="inlineStr">
        <is>
          <t>Not applicable</t>
        </is>
      </c>
      <c r="Z134" s="23">
        <f>IF(X134="","",IF(X134="Excluded","Consistent",IF(X134="Counted","Inconsistent",IF(X134="Varies (grantee/agency choice)","Partly inconsistent",IF(X134="Not applicable","Not applicable","Needs check")))))</f>
        <v/>
      </c>
      <c r="AA134" s="23" t="inlineStr">
        <is>
          <t>No household income eligibility test: data-analysis project.</t>
        </is>
      </c>
      <c r="AB134" s="23" t="inlineStr">
        <is>
          <t>Not a means-tested household benefit.</t>
        </is>
      </c>
      <c r="AC134" s="23" t="n"/>
      <c r="AD134" s="23" t="inlineStr">
        <is>
          <t>Not verified — low risk (not income-tested)</t>
        </is>
      </c>
    </row>
    <row r="135" ht="98.25" customHeight="1">
      <c r="A135" s="11" t="n"/>
      <c r="B135" s="11" t="n"/>
      <c r="C135" s="20" t="inlineStr">
        <is>
          <t>Youth Homeless System Improvement Grants</t>
        </is>
      </c>
      <c r="D135" s="11" t="n"/>
      <c r="E135" s="20" t="inlineStr">
        <is>
          <t>Assistant Secretary for Community Planning and Development</t>
        </is>
      </c>
      <c r="F135" s="11" t="n"/>
      <c r="G135" s="11" t="n"/>
      <c r="H135" s="11" t="n"/>
      <c r="I135" s="11" t="n"/>
      <c r="J135" s="20" t="inlineStr">
        <is>
          <t>14.277</t>
        </is>
      </c>
      <c r="K135" s="20" t="inlineStr">
        <is>
          <t>YHSIG</t>
        </is>
      </c>
      <c r="L135" s="20" t="inlineStr">
        <is>
          <t>The objectives of the Youth Homeless System Improvement Grants (YHSIG), HUD will award approximately $25,000,000 to support communities, including but not limited to the communities assisted under the matter preceding this proviso in establishing and implementing a response system for youth homelessness or for improving their existing system.</t>
        </is>
      </c>
      <c r="M135" s="20" t="inlineStr">
        <is>
          <t>Project Grants</t>
        </is>
      </c>
      <c r="N135" s="20" t="n"/>
      <c r="O135" s="20" t="inlineStr">
        <is>
          <t>Federally Recognized lndian Tribal Governments,Public nonprofit institution/organization (includes institutions of higher education and hospitals),State</t>
        </is>
      </c>
      <c r="P135" s="22" t="n">
        <v>0</v>
      </c>
      <c r="Q135" s="22" t="n">
        <v>0</v>
      </c>
      <c r="R135" s="22" t="n">
        <v>0</v>
      </c>
      <c r="S135" s="23" t="inlineStr">
        <is>
          <t>Not income-tested</t>
        </is>
      </c>
      <c r="T135" s="23" t="inlineStr">
        <is>
          <t>Other statutes &amp; appropriations</t>
        </is>
      </c>
      <c r="U135" s="23" t="inlineStr">
        <is>
          <t>—</t>
        </is>
      </c>
      <c r="V135" s="23" t="inlineStr">
        <is>
          <t>N/A</t>
        </is>
      </c>
      <c r="W135" s="23" t="inlineStr">
        <is>
          <t>N/A</t>
        </is>
      </c>
      <c r="X135" s="23" t="inlineStr">
        <is>
          <t>Not applicable</t>
        </is>
      </c>
      <c r="Y135" s="23" t="inlineStr">
        <is>
          <t>Not applicable</t>
        </is>
      </c>
      <c r="Z135" s="23">
        <f>IF(X135="","",IF(X135="Excluded","Consistent",IF(X135="Counted","Inconsistent",IF(X135="Varies (grantee/agency choice)","Partly inconsistent",IF(X135="Not applicable","Not applicable","Needs check")))))</f>
        <v/>
      </c>
      <c r="AA135" s="23" t="inlineStr">
        <is>
          <t>No household income eligibility test: system-improvement grants to CoCs.</t>
        </is>
      </c>
      <c r="AB135" s="23" t="inlineStr">
        <is>
          <t>Not a means-tested household benefit.</t>
        </is>
      </c>
      <c r="AC135" s="23" t="n"/>
      <c r="AD135" s="23" t="inlineStr">
        <is>
          <t>Not verified — low risk (not income-tested)</t>
        </is>
      </c>
    </row>
    <row r="136" ht="71.25" customHeight="1">
      <c r="A136" s="11" t="n"/>
      <c r="B136" s="11" t="n"/>
      <c r="C136" s="20" t="inlineStr">
        <is>
          <t>Dollar Home Sales</t>
        </is>
      </c>
      <c r="D136" s="11" t="n"/>
      <c r="E136" s="20" t="inlineStr">
        <is>
          <t>Assistant Secretary for Housing -- Federal Housing Commissioner</t>
        </is>
      </c>
      <c r="F136" s="11" t="n"/>
      <c r="G136" s="11" t="n"/>
      <c r="H136" s="11" t="n"/>
      <c r="I136" s="11" t="n"/>
      <c r="J136" s="20" t="inlineStr">
        <is>
          <t>14.313</t>
        </is>
      </c>
      <c r="K136" s="20" t="inlineStr">
        <is>
          <t>Dollar Home Program, $1 Home Program</t>
        </is>
      </c>
      <c r="L136" s="20" t="inlineStr">
        <is>
          <t>To expand HUD's partnership with local governments in helping to foster housing opportunities for low-to-moderate income families and address specific community needs.</t>
        </is>
      </c>
      <c r="M136" s="20" t="inlineStr">
        <is>
          <t>Sale, Exchange, or Donation of Property or Goods</t>
        </is>
      </c>
      <c r="N136" s="20" t="inlineStr">
        <is>
          <t>Local</t>
        </is>
      </c>
      <c r="O136" s="20" t="inlineStr">
        <is>
          <t>Local (includes State-designated lndian Tribes, excludes institutions of higher education and hospitals</t>
        </is>
      </c>
      <c r="P136" s="22" t="n">
        <v>0</v>
      </c>
      <c r="Q136" s="22" t="n">
        <v>0</v>
      </c>
      <c r="R136" s="22" t="n">
        <v>0</v>
      </c>
      <c r="S136" s="23" t="inlineStr">
        <is>
          <t>Not income-tested</t>
        </is>
      </c>
      <c r="T136" s="23" t="inlineStr">
        <is>
          <t>National Housing Act (FHA &amp; mortgage insurance)</t>
        </is>
      </c>
      <c r="U136" s="23" t="inlineStr">
        <is>
          <t>—</t>
        </is>
      </c>
      <c r="V136" s="23" t="inlineStr">
        <is>
          <t>N/A</t>
        </is>
      </c>
      <c r="W136" s="23" t="inlineStr">
        <is>
          <t>N/A</t>
        </is>
      </c>
      <c r="X136" s="23" t="inlineStr">
        <is>
          <t>Not applicable</t>
        </is>
      </c>
      <c r="Y136" s="23" t="inlineStr">
        <is>
          <t>Not applicable</t>
        </is>
      </c>
      <c r="Z136" s="23">
        <f>IF(X136="","",IF(X136="Excluded","Consistent",IF(X136="Counted","Inconsistent",IF(X136="Varies (grantee/agency choice)","Partly inconsistent",IF(X136="Not applicable","Not applicable","Needs check")))))</f>
        <v/>
      </c>
      <c r="AA136" s="23" t="inlineStr">
        <is>
          <t>No household income eligibility test: sale of HUD homes to local governments for $1.</t>
        </is>
      </c>
      <c r="AB136" s="23" t="inlineStr">
        <is>
          <t>Not a means-tested household benefit.</t>
        </is>
      </c>
      <c r="AC136" s="23" t="n"/>
      <c r="AD136" s="23" t="inlineStr">
        <is>
          <t>Not verified — low risk (not income-tested)</t>
        </is>
      </c>
    </row>
    <row r="137" ht="229.5" customHeight="1">
      <c r="A137" s="11" t="n"/>
      <c r="B137" s="11" t="n"/>
      <c r="C137" s="20" t="inlineStr">
        <is>
          <t>Performance Based Contract Administrator Program</t>
        </is>
      </c>
      <c r="D137" s="11" t="n"/>
      <c r="E137" s="20" t="inlineStr">
        <is>
          <t>Assistant Secretary for Housing -- Federal Housing Commissioner</t>
        </is>
      </c>
      <c r="F137" s="11" t="n"/>
      <c r="G137" s="11" t="n"/>
      <c r="H137" s="11" t="n"/>
      <c r="I137" s="11" t="n"/>
      <c r="J137" s="20" t="inlineStr">
        <is>
          <t>14.327</t>
        </is>
      </c>
      <c r="K137" s="20" t="inlineStr">
        <is>
          <t>PBCA Program</t>
        </is>
      </c>
      <c r="L137" s="20" t="inlineStr">
        <is>
          <t>It is the policy of the United States to promote the general welfare of the Nation by employing funds and credit of the Nation, as established in section 2 of the 1937 Act, of assisting States and their political subdivisions {e.g., Public Housing Authorities (PHA)s} to remedy the unsafe housing conditions and the acute shortage of decent and safe dwellings for low-income families as well as address the shortage of housing affordable to low-income families.  The PBCA program furthers these policies by effectuating authority explicitly under section 8(b)(1) of the 1937 Act for HUD to enter into Annual Contributions Contracts (ACCs) with PHAs for the administration of Section 8 Housing Assistance Payments (HAP) contracts. For the purpose of aiding lower-income families in obtaining a decent place to live and of promoting economically mixed housing, assistance payments may be made with respect to existing housing in accordance with the provisions of this section.  For the project-based subprograms authorized under Section 8, the 1937 Act authorizes HUD to enter into an ACC with a PHA, as defined in section 3(b)(6)(A) of the 1937 Act. The ACC is the contractual mechanism to support the PHA’s public purpose in making the assistance payments to Section 8 project owners. This program provides assistance to PHAs for the administration of Project-Based Section 8 program within a State.</t>
        </is>
      </c>
      <c r="M137" s="20" t="inlineStr">
        <is>
          <t>Direct Payments for a Specified Use</t>
        </is>
      </c>
      <c r="N137" s="20" t="inlineStr">
        <is>
          <t>Low Income</t>
        </is>
      </c>
      <c r="O137" s="20" t="inlineStr">
        <is>
          <t>Other public institution/organization,State</t>
        </is>
      </c>
      <c r="P137" s="22" t="n">
        <v>0</v>
      </c>
      <c r="Q137" s="22" t="n">
        <v>0</v>
      </c>
      <c r="R137" s="22" t="n">
        <v>0</v>
      </c>
      <c r="S137" s="23" t="inlineStr">
        <is>
          <t>Not income-tested</t>
        </is>
      </c>
      <c r="T137" s="23" t="inlineStr">
        <is>
          <t>U.S. Housing Act of 1937 (public housing &amp; Section 8)</t>
        </is>
      </c>
      <c r="U137" s="23" t="inlineStr">
        <is>
          <t>—</t>
        </is>
      </c>
      <c r="V137" s="23" t="inlineStr">
        <is>
          <t>N/A</t>
        </is>
      </c>
      <c r="W137" s="23" t="inlineStr">
        <is>
          <t>N/A</t>
        </is>
      </c>
      <c r="X137" s="23" t="inlineStr">
        <is>
          <t>Not applicable</t>
        </is>
      </c>
      <c r="Y137" s="23" t="inlineStr">
        <is>
          <t>Not applicable</t>
        </is>
      </c>
      <c r="Z137" s="23">
        <f>IF(X137="","",IF(X137="Excluded","Consistent",IF(X137="Counted","Inconsistent",IF(X137="Varies (grantee/agency choice)","Partly inconsistent",IF(X137="Not applicable","Not applicable","Needs check")))))</f>
        <v/>
      </c>
      <c r="AA137" s="23" t="inlineStr">
        <is>
          <t>No household income eligibility test: contract administration for PBRA contracts.</t>
        </is>
      </c>
      <c r="AB137" s="23" t="inlineStr">
        <is>
          <t>Not a means-tested household benefit.</t>
        </is>
      </c>
      <c r="AC137" s="23" t="n"/>
      <c r="AD137" s="23" t="inlineStr">
        <is>
          <t>Not verified — low risk (not income-tested)</t>
        </is>
      </c>
    </row>
    <row r="138" ht="229.5" customHeight="1">
      <c r="A138" s="11" t="n"/>
      <c r="B138" s="11" t="n"/>
      <c r="C138" s="20" t="inlineStr">
        <is>
          <t>Lower Income Housing Assistance Program Section 8 Moderate Rehabilitation</t>
        </is>
      </c>
      <c r="D138" s="11" t="n"/>
      <c r="E138" s="20" t="inlineStr">
        <is>
          <t>Assistant Secretary for Public and Indian Housing</t>
        </is>
      </c>
      <c r="F138" s="11" t="n"/>
      <c r="G138" s="11" t="n"/>
      <c r="H138" s="11" t="n"/>
      <c r="I138" s="11" t="n"/>
      <c r="J138" s="20" t="inlineStr">
        <is>
          <t>14.856</t>
        </is>
      </c>
      <c r="K138" s="20" t="inlineStr">
        <is>
          <t>(Section 8 Housing Assistance Payments Program for Very Low Income Families-Moderate Rehabilitation)</t>
        </is>
      </c>
      <c r="L138" s="20" t="inlineStr">
        <is>
          <t>The Moderate Rehabilitation (Mod Rehab) program was designed in 1978 to be an expansion of the rental certificate program. The rental certificate program was initially amended to permit moderate levels of rehabilitation to upgrade and preserve the nation's housing stock.</t>
        </is>
      </c>
      <c r="M138" s="20" t="inlineStr">
        <is>
          <t>Direct Payments for a Specified Use</t>
        </is>
      </c>
      <c r="N138" s="20" t="inlineStr">
        <is>
          <t>Anyone/general public,Disabled (e.g. Deaf, Blind, Physically Disabled),Homeowner,Individual/Family,Low Income,Mentally Disabled,Moderate Income,Physically Afflicted (e.g. TB, Arthritis, Heart Disease),Private nonprofit institution/organization,Public nonprofit institution/organization,Refugee/Alien,Senior Citizen (60+),U.S. Citizen,Unemployed,Veteran/Service person/Reservist (including dependents,Welfare Recipient,Women</t>
        </is>
      </c>
      <c r="O138" s="20" t="inlineStr">
        <is>
          <t>Other public institution/organization</t>
        </is>
      </c>
      <c r="P138" s="22" t="n">
        <v>0</v>
      </c>
      <c r="Q138" s="22" t="n">
        <v>80033607</v>
      </c>
      <c r="R138" s="22" t="n">
        <v>79095834</v>
      </c>
      <c r="S138" s="23" t="inlineStr">
        <is>
          <t>Household income test</t>
        </is>
      </c>
      <c r="T138" s="23" t="inlineStr">
        <is>
          <t>U.S. Housing Act of 1937 (public housing &amp; Section 8)</t>
        </is>
      </c>
      <c r="U138" s="23" t="inlineStr">
        <is>
          <t>42 U.S.C. 1437f; 24 CFR part 882; 5.609</t>
        </is>
      </c>
      <c r="V138" s="23" t="inlineStr">
        <is>
          <t>Part 5 annual income (24 CFR 5.609)</t>
        </is>
      </c>
      <c r="W138" s="23" t="inlineStr">
        <is>
          <t>Mandatory</t>
        </is>
      </c>
      <c r="X138" s="23" t="inlineStr">
        <is>
          <t>Counted</t>
        </is>
      </c>
      <c r="Y138" s="23" t="inlineStr">
        <is>
          <t>Counted</t>
        </is>
      </c>
      <c r="Z138" s="23">
        <f>IF(X138="","",IF(X138="Excluded","Consistent",IF(X138="Counted","Inconsistent",IF(X138="Varies (grantee/agency choice)","Partly inconsistent",IF(X138="Not applicable","Not applicable","Needs check")))))</f>
        <v/>
      </c>
      <c r="AA138" s="23" t="inlineStr">
        <is>
          <t>Current VA service-connected disability compensation is not among the 24 CFR 5.609(b) exclusions, so it is annual income. Only deferred VA disability amounts received as a lump sum or prospective monthly amounts (5.609(b)(16)) and aid &amp; attendance under 38 U.S.C. 1521 (5.609(b)(17)) are excluded; the statute (42 U.S.C. 1437a(b)(4)(B)(iii), (vi)) mirrors this.</t>
        </is>
      </c>
      <c r="AB138" s="23" t="inlineStr">
        <is>
          <t>The 1937 Act itself defines 'income' as income from all sources minus enumerated exclusions; HUD implements it uniformly through Part 5 because these programs set ongoing tenant rent from adjusted income (5.611).</t>
        </is>
      </c>
      <c r="AC138" s="23" t="n"/>
      <c r="AD138" s="23" t="inlineStr">
        <is>
          <t>Partly verified</t>
        </is>
      </c>
    </row>
    <row r="139" ht="206.25" customHeight="1">
      <c r="A139" s="11" t="n"/>
      <c r="B139" s="11" t="n"/>
      <c r="C139" s="20" t="inlineStr">
        <is>
          <t>Demolition and Revitalization of Severely Distressed Public Housing</t>
        </is>
      </c>
      <c r="D139" s="11" t="n"/>
      <c r="E139" s="20" t="inlineStr">
        <is>
          <t>Assistant Secretary for Public and Indian Housing</t>
        </is>
      </c>
      <c r="F139" s="11" t="n"/>
      <c r="G139" s="11" t="n"/>
      <c r="H139" s="11" t="n"/>
      <c r="I139" s="11" t="n"/>
      <c r="J139" s="20" t="inlineStr">
        <is>
          <t>14.866</t>
        </is>
      </c>
      <c r="K139" s="20" t="inlineStr">
        <is>
          <t>(HOPE VI)</t>
        </is>
      </c>
      <c r="L139" s="20" t="inlineStr">
        <is>
          <t>Revitalization Grants enable PHAs to improve the living environment for public housing residents of severely distressed public housing projects through the demolition, substantial rehabilitation, reconfiguration, and/or replacement of severely distressed units; revitalize the sites on which severely distressed public housing projects are located and contribute to the improvement of the surrounding neighborhood; lessen isolation and reduce the concentration of low-income families; build sustainable mixed-income communities; and provide well-coordinated, results-based community and supportive services that directly complement housing redevelopment and that help residents to achieve self-sufficiency, young people to obtain educational excellence, and the community to secure a desirable quality of life.</t>
        </is>
      </c>
      <c r="M139" s="20" t="inlineStr">
        <is>
          <t>Project Grants</t>
        </is>
      </c>
      <c r="N139" s="20" t="inlineStr">
        <is>
          <t>Individual/Family,Low Income,Other Urban,Suburban</t>
        </is>
      </c>
      <c r="O139" s="20" t="inlineStr">
        <is>
          <t>Other public institution/organization</t>
        </is>
      </c>
      <c r="P139" s="22" t="n">
        <v>0</v>
      </c>
      <c r="Q139" s="22" t="n">
        <v>1161135.73</v>
      </c>
      <c r="R139" s="22" t="n">
        <v>0</v>
      </c>
      <c r="S139" s="23" t="inlineStr">
        <is>
          <t>Via underlying program</t>
        </is>
      </c>
      <c r="T139" s="23" t="inlineStr">
        <is>
          <t>U.S. Housing Act of 1937 (public housing &amp; Section 8)</t>
        </is>
      </c>
      <c r="U139" s="23" t="inlineStr">
        <is>
          <t>Eligibility inherited from public housing (Part 5)</t>
        </is>
      </c>
      <c r="V139" s="23" t="inlineStr">
        <is>
          <t>N/A (no separate income determination)</t>
        </is>
      </c>
      <c r="W139" s="23" t="inlineStr">
        <is>
          <t>N/A</t>
        </is>
      </c>
      <c r="X139" s="23" t="inlineStr">
        <is>
          <t>Not applicable</t>
        </is>
      </c>
      <c r="Y139" s="23" t="inlineStr">
        <is>
          <t>Not applicable</t>
        </is>
      </c>
      <c r="Z139" s="23">
        <f>IF(X139="","",IF(X139="Excluded","Consistent",IF(X139="Counted","Inconsistent",IF(X139="Varies (grantee/agency choice)","Partly inconsistent",IF(X139="Not applicable","Not applicable","Needs check")))))</f>
        <v/>
      </c>
      <c r="AA139" s="23" t="inlineStr">
        <is>
          <t>No separate household income determination; participants are already income-qualified under public housing (Part 5), where VA compensation is treated as shown on that program's row.</t>
        </is>
      </c>
      <c r="AB139" s="23" t="inlineStr">
        <is>
          <t>Program funds services, capital, or operations for households assisted under another program.</t>
        </is>
      </c>
      <c r="AC139" s="23" t="inlineStr">
        <is>
          <t>HOPE VI revitalization; replacement units follow public housing / voucher rules.</t>
        </is>
      </c>
      <c r="AD139" s="23" t="inlineStr">
        <is>
          <t>Partly verified</t>
        </is>
      </c>
    </row>
    <row r="140" ht="152.25" customHeight="1">
      <c r="A140" s="11" t="n"/>
      <c r="B140" s="11" t="n"/>
      <c r="C140" s="20" t="inlineStr">
        <is>
          <t>Affordable Housing Development in Main Street Rejuvenation Projects</t>
        </is>
      </c>
      <c r="D140" s="11" t="n"/>
      <c r="E140" s="20" t="inlineStr">
        <is>
          <t>Assistant Secretary for Public and Indian Housing</t>
        </is>
      </c>
      <c r="F140" s="11" t="n"/>
      <c r="G140" s="11" t="n"/>
      <c r="H140" s="11" t="n"/>
      <c r="I140" s="11" t="n"/>
      <c r="J140" s="20" t="inlineStr">
        <is>
          <t>14.878</t>
        </is>
      </c>
      <c r="K140" s="20" t="inlineStr">
        <is>
          <t>(Main Street)</t>
        </is>
      </c>
      <c r="L140" s="20" t="inlineStr">
        <is>
          <t>To assist small communities with populations of 50,000 or less and 100 Public Housing units or less in the rejuvenation of historic or traditional central business districts or "Main Street Areas" by replacing unused commercial space in buildings with Affordable housing units. The objectives of the program are to: (1) Redevelop Main Street Areas; (2) Preserve historic or traditional architecture or design features in Main Street Areas; (3) Enhance economic development efforts in Main Street Areas; and (4) Provide affordable housing in Main Street Areas.</t>
        </is>
      </c>
      <c r="M140" s="20" t="inlineStr">
        <is>
          <t>Project Grants</t>
        </is>
      </c>
      <c r="N140" s="20" t="inlineStr">
        <is>
          <t>Builder/Contractor/Developer,Individual/Family,Land/Property Owner,Local,Low Income,Other public institution/organization,Rural,Suburban,U.S. Territories</t>
        </is>
      </c>
      <c r="O140" s="20" t="inlineStr">
        <is>
          <t>Local (includes State-designated lndian Tribes, excludes institutions of higher education and hospitals</t>
        </is>
      </c>
      <c r="P140" s="22" t="n">
        <v>0</v>
      </c>
      <c r="Q140" s="22" t="n">
        <v>0</v>
      </c>
      <c r="R140" s="22" t="n">
        <v>0</v>
      </c>
      <c r="S140" s="23" t="inlineStr">
        <is>
          <t>Household income test</t>
        </is>
      </c>
      <c r="T140" s="23" t="inlineStr">
        <is>
          <t>U.S. Housing Act of 1937 (public housing &amp; Section 8)</t>
        </is>
      </c>
      <c r="U140" s="23" t="inlineStr">
        <is>
          <t>1937 Act §24 (HOPE VI Main Street)</t>
        </is>
      </c>
      <c r="V140" s="23" t="inlineStr">
        <is>
          <t>Not checked</t>
        </is>
      </c>
      <c r="W140" s="23" t="inlineStr">
        <is>
          <t>N/A</t>
        </is>
      </c>
      <c r="X140" s="23" t="inlineStr">
        <is>
          <t>Unclear / needs check</t>
        </is>
      </c>
      <c r="Y140" s="23" t="inlineStr">
        <is>
          <t>Unclear / needs check</t>
        </is>
      </c>
      <c r="Z140" s="23">
        <f>IF(X140="","",IF(X140="Excluded","Consistent",IF(X140="Counted","Inconsistent",IF(X140="Varies (grantee/agency choice)","Partly inconsistent",IF(X140="Not applicable","Not applicable","Needs check")))))</f>
        <v/>
      </c>
      <c r="AA140" s="23" t="inlineStr">
        <is>
          <t>Main Street grants create affordable units in small communities; tenant income rules weren't checked.</t>
        </is>
      </c>
      <c r="AB140" s="23" t="inlineStr">
        <is>
          <t>—</t>
        </is>
      </c>
      <c r="AC140" s="23" t="n"/>
      <c r="AD140" s="23" t="inlineStr">
        <is>
          <t>Not verified — needs check</t>
        </is>
      </c>
    </row>
    <row r="141" ht="229.5" customHeight="1">
      <c r="A141" s="11" t="n"/>
      <c r="B141" s="11" t="n"/>
      <c r="C141" s="20" t="inlineStr">
        <is>
          <t>Mainstream Vouchers</t>
        </is>
      </c>
      <c r="D141" s="11" t="n"/>
      <c r="E141" s="20" t="inlineStr">
        <is>
          <t>Assistant Secretary for Public and Indian Housing</t>
        </is>
      </c>
      <c r="F141" s="11" t="n"/>
      <c r="G141" s="11" t="n"/>
      <c r="H141" s="11" t="n"/>
      <c r="I141" s="11" t="n"/>
      <c r="J141" s="20" t="inlineStr">
        <is>
          <t>14.879</t>
        </is>
      </c>
      <c r="K141" s="20" t="n"/>
      <c r="L141" s="20" t="inlineStr">
        <is>
          <t>The Mainstream Vouchers (previously referred to as the Mainstream 5-Year Program and/or the Section 811 Voucher Program) were originally authorized under the National Affordable Housing Act of 1990 (P.L. 101-625). The Mainstream Vouchers provides tenant-based assistance to persons with disabilities. Until the passage of the Frank Melville Supportive Housing Investment Act of 2010 (P.L. 111-374) (Melville Act), the program operated as a separate program distinct from the regular tenant-based Housing Choice Voucher Program. The Melville Act converted the Mainstream 5-Year Program to the Housing Choice Voucher (HCV) Program under 8(o) of the U.S. Housing Act of 1937. Under the Melville Act, except for serving a specific population, Mainstream vouchers are to be treated the same as regular voucher assistance. In other words, the same regulations at 24 CFR Part 982 (Section 8 Tenant-Based Assistance: Housing Choice Voucher Program) apply to Mainstream vouchers. There is no authority to treat families that receive a Mainstream voucher differently from other applicants and participants of the HCV program. After enactment of the Melville Act (i.e., subsequent to conversion of this assistance to section 8(o) voucher assistance), funding for Mainstream voucher renewals and administrative fees was first provided in the Consolidated and Further Continuing Appropriations Act, 2012 (P.L. 112-55) under its own paragraph under the Tenant-Based Rental Assistance (TBRA) heading. The Consolidated Appropriations Act, 2017 provided funding for incremental Mainstream vouchers for the first time since the enactment of the Melville Act (in addition to renewal and administrative fee funding). These incremental vouchers exclusively assisted non-elderly persons with disabilities. The Consolidated Appropriations Act, 2018 and the Consolidated Appropriations Act, 2019 ("2019 Act") also provided funding for incremental Mainstream vouchers for non-elderly persons with disabilities, in addition to renewal and administrative fee funding. In addition, the 2019 Act states that all new and existing Mainstream vouchers must be provided to non-elderly persons with disabilities upon turnover. Consistent with prior appropriations acts, all funding for 2017-2019 Mainstream vouchers was provided under its own paragraph (e.g., paragraph (4) under the TBRA heading in the 2019 Act). While the Melville Act requires Mainstream vouchers to be treated the same as regular voucher assistance, the separate HCV Mainstream appropriations results in an accounting of Mainstream activity separate from the HCV program.</t>
        </is>
      </c>
      <c r="M141" s="20" t="inlineStr">
        <is>
          <t>Direct Payments for a Specified Use</t>
        </is>
      </c>
      <c r="N141" s="20" t="inlineStr">
        <is>
          <t>Disabled (e.g. Deaf, Blind, Physically Disabled),Mentally Disabled</t>
        </is>
      </c>
      <c r="O141" s="20" t="inlineStr">
        <is>
          <t>State</t>
        </is>
      </c>
      <c r="P141" s="22" t="n">
        <v>0</v>
      </c>
      <c r="Q141" s="22" t="n">
        <v>624803514</v>
      </c>
      <c r="R141" s="22" t="n">
        <v>717062072</v>
      </c>
      <c r="S141" s="23" t="inlineStr">
        <is>
          <t>Household income test</t>
        </is>
      </c>
      <c r="T141" s="23" t="inlineStr">
        <is>
          <t>U.S. Housing Act of 1937 (public housing &amp; Section 8)</t>
        </is>
      </c>
      <c r="U141" s="23" t="inlineStr">
        <is>
          <t>Section 811 authority (42 U.S.C. 8013) administered as HCV; 24 CFR part 982; 5.609</t>
        </is>
      </c>
      <c r="V141" s="23" t="inlineStr">
        <is>
          <t>Part 5 annual income (24 CFR 5.609)</t>
        </is>
      </c>
      <c r="W141" s="23" t="inlineStr">
        <is>
          <t>Mandatory</t>
        </is>
      </c>
      <c r="X141" s="23" t="inlineStr">
        <is>
          <t>Counted</t>
        </is>
      </c>
      <c r="Y141" s="23" t="inlineStr">
        <is>
          <t>Counted</t>
        </is>
      </c>
      <c r="Z141" s="23">
        <f>IF(X141="","",IF(X141="Excluded","Consistent",IF(X141="Counted","Inconsistent",IF(X141="Varies (grantee/agency choice)","Partly inconsistent",IF(X141="Not applicable","Not applicable","Needs check")))))</f>
        <v/>
      </c>
      <c r="AA141" s="23" t="inlineStr">
        <is>
          <t>Current VA service-connected disability compensation is not among the 24 CFR 5.609(b) exclusions, so it is annual income. Only deferred VA disability amounts received as a lump sum or prospective monthly amounts (5.609(b)(16)) and aid &amp; attendance under 38 U.S.C. 1521 (5.609(b)(17)) are excluded; the statute (42 U.S.C. 1437a(b)(4)(B)(iii), (vi)) mirrors this.</t>
        </is>
      </c>
      <c r="AB141" s="23" t="inlineStr">
        <is>
          <t>The 1937 Act itself defines 'income' as income from all sources minus enumerated exclusions; HUD implements it uniformly through Part 5 because these programs set ongoing tenant rent from adjusted income (5.611).</t>
        </is>
      </c>
      <c r="AC141" s="23" t="inlineStr">
        <is>
          <t>Mainstream vouchers are authorized under Section 811 but administered under HCV rules.</t>
        </is>
      </c>
      <c r="AD141" s="23" t="inlineStr">
        <is>
          <t>Partly verified</t>
        </is>
      </c>
    </row>
    <row r="142" ht="229.5" customHeight="1">
      <c r="A142" s="11" t="n"/>
      <c r="B142" s="11" t="n"/>
      <c r="C142" s="20" t="inlineStr">
        <is>
          <t>Family Unification Program (FUP)</t>
        </is>
      </c>
      <c r="D142" s="11" t="n"/>
      <c r="E142" s="20" t="inlineStr">
        <is>
          <t>Assistant Secretary for Public and Indian Housing</t>
        </is>
      </c>
      <c r="F142" s="11" t="n"/>
      <c r="G142" s="11" t="n"/>
      <c r="H142" s="11" t="n"/>
      <c r="I142" s="11" t="n"/>
      <c r="J142" s="20" t="inlineStr">
        <is>
          <t>14.880</t>
        </is>
      </c>
      <c r="K142" s="20" t="n"/>
      <c r="L142" s="20" t="inlineStr">
        <is>
          <t>To aid: (1) Families for whom the lack of adequate housing is a primary factor in: a. The imminent placement of the family’s child or children in out-of-home care, or b. The delay in the discharge of the child or children to the family from out-of-home care. (2) For a period not to exceed 36 months, otherwise eligible youths who have attained at least 18 years and not more than 24 years of age and who have left foster care, or will leave foster care within 90 days, in accordance with a transition plan described in section 475(5)(H) of the Social Security Act and is homeless or is at risk of becoming homeless at age 16 or older. FUP- eligible families and youths may use these Housing Choice Vouchers (HVCs) to obtain decent, safe, and affordable housing units in the private rental market. Where appropriations provide for FUP assistance to be targeted to FUP-eligible youth only, HUD uses the name Foster Youth to Independence to create a distinction between regular FUP allocations and allocations targeted to FUP-eligible youth only.</t>
        </is>
      </c>
      <c r="M142" s="20" t="inlineStr">
        <is>
          <t>Direct Payments for a Specified Use</t>
        </is>
      </c>
      <c r="N142" s="20" t="inlineStr">
        <is>
          <t>Individual/Family,Low Income,Refugee/Alien,U.S. Citizen,Unemployed,Veteran/Service person/Reservist (including dependents,Welfare Recipient,Women</t>
        </is>
      </c>
      <c r="O142" s="20" t="inlineStr">
        <is>
          <t>Public nonprofit institution/organization (includes institutions of higher education and hospitals),State (includes District of Columbia, public institutions of higher education and hospitals)</t>
        </is>
      </c>
      <c r="P142" s="22" t="n">
        <v>0</v>
      </c>
      <c r="Q142" s="22" t="n">
        <v>-1252495.87</v>
      </c>
      <c r="R142" s="22" t="n">
        <v>-518570.68</v>
      </c>
      <c r="S142" s="23" t="inlineStr">
        <is>
          <t>Household income test</t>
        </is>
      </c>
      <c r="T142" s="23" t="inlineStr">
        <is>
          <t>U.S. Housing Act of 1937 (public housing &amp; Section 8)</t>
        </is>
      </c>
      <c r="U142" s="23" t="inlineStr">
        <is>
          <t>42 U.S.C. 1437f(x); 24 CFR part 982; 5.609</t>
        </is>
      </c>
      <c r="V142" s="23" t="inlineStr">
        <is>
          <t>Part 5 annual income (24 CFR 5.609)</t>
        </is>
      </c>
      <c r="W142" s="23" t="inlineStr">
        <is>
          <t>Mandatory</t>
        </is>
      </c>
      <c r="X142" s="23" t="inlineStr">
        <is>
          <t>Counted</t>
        </is>
      </c>
      <c r="Y142" s="23" t="inlineStr">
        <is>
          <t>Counted</t>
        </is>
      </c>
      <c r="Z142" s="23">
        <f>IF(X142="","",IF(X142="Excluded","Consistent",IF(X142="Counted","Inconsistent",IF(X142="Varies (grantee/agency choice)","Partly inconsistent",IF(X142="Not applicable","Not applicable","Needs check")))))</f>
        <v/>
      </c>
      <c r="AA142" s="23" t="inlineStr">
        <is>
          <t>Current VA service-connected disability compensation is not among the 24 CFR 5.609(b) exclusions, so it is annual income. Only deferred VA disability amounts received as a lump sum or prospective monthly amounts (5.609(b)(16)) and aid &amp; attendance under 38 U.S.C. 1521 (5.609(b)(17)) are excluded; the statute (42 U.S.C. 1437a(b)(4)(B)(iii), (vi)) mirrors this.</t>
        </is>
      </c>
      <c r="AB142" s="23" t="inlineStr">
        <is>
          <t>The 1937 Act itself defines 'income' as income from all sources minus enumerated exclusions; HUD implements it uniformly through Part 5 because these programs set ongoing tenant rent from adjusted income (5.611).</t>
        </is>
      </c>
      <c r="AC142" s="23" t="n"/>
      <c r="AD142" s="23" t="inlineStr">
        <is>
          <t>Partly verified</t>
        </is>
      </c>
    </row>
    <row r="143" ht="21.75" customHeight="1">
      <c r="A143" s="4" t="inlineStr">
        <is>
          <t>SUPPLEMENTAL — programs with distinct VA-compensation treatment that have no separate row in either inventory</t>
        </is>
      </c>
    </row>
    <row r="144" ht="84.75" customHeight="1">
      <c r="A144" s="18" t="n"/>
      <c r="B144" s="19" t="inlineStr">
        <is>
          <t>Public housing (admissions &amp; occupancy)</t>
        </is>
      </c>
      <c r="C144" s="11" t="n"/>
      <c r="D144" s="19" t="inlineStr">
        <is>
          <t>Public and Indian Housing</t>
        </is>
      </c>
      <c r="E144" s="11" t="n"/>
      <c r="F144" s="19" t="n"/>
      <c r="G144" s="19" t="n"/>
      <c r="H144" s="19" t="n"/>
      <c r="I144" s="21" t="n"/>
      <c r="J144" s="11" t="n"/>
      <c r="K144" s="11" t="n"/>
      <c r="L144" s="11" t="n"/>
      <c r="M144" s="11" t="n"/>
      <c r="N144" s="11" t="n"/>
      <c r="O144" s="11" t="n"/>
      <c r="P144" s="11" t="n"/>
      <c r="Q144" s="11" t="n"/>
      <c r="R144" s="11" t="n"/>
      <c r="S144" s="23" t="inlineStr">
        <is>
          <t>Household income test</t>
        </is>
      </c>
      <c r="T144" s="23" t="inlineStr">
        <is>
          <t>U.S. Housing Act of 1937 (public housing &amp; Section 8)</t>
        </is>
      </c>
      <c r="U144" s="23" t="inlineStr">
        <is>
          <t>42 U.S.C. 1437a(b)(4); 24 CFR 5.601, 5.609; 24 CFR part 960</t>
        </is>
      </c>
      <c r="V144" s="23" t="inlineStr">
        <is>
          <t>Part 5 annual income (24 CFR 5.609)</t>
        </is>
      </c>
      <c r="W144" s="23" t="inlineStr">
        <is>
          <t>Mandatory</t>
        </is>
      </c>
      <c r="X144" s="23" t="inlineStr">
        <is>
          <t>Counted</t>
        </is>
      </c>
      <c r="Y144" s="23" t="inlineStr">
        <is>
          <t>Counted</t>
        </is>
      </c>
      <c r="Z144" s="23">
        <f>IF(X144="","",IF(X144="Excluded","Consistent",IF(X144="Counted","Inconsistent",IF(X144="Varies (grantee/agency choice)","Partly inconsistent",IF(X144="Not applicable","Not applicable","Needs check")))))</f>
        <v/>
      </c>
      <c r="AA144" s="23" t="inlineStr">
        <is>
          <t>Current VA service-connected disability compensation is not among the 24 CFR 5.609(b) exclusions, so it is annual income. Only deferred VA disability amounts received as a lump sum or prospective monthly amounts (5.609(b)(16)) and aid &amp; attendance under 38 U.S.C. 1521 (5.609(b)(17)) are excluded; the statute (42 U.S.C. 1437a(b)(4)(B)(iii), (vi)) mirrors this.</t>
        </is>
      </c>
      <c r="AB144" s="23" t="inlineStr">
        <is>
          <t>The 1937 Act itself defines 'income' as income from all sources minus enumerated exclusions; HUD implements it uniformly through Part 5 because these programs set ongoing tenant rent from adjusted income (5.611).</t>
        </is>
      </c>
      <c r="AC144" s="23" t="inlineStr">
        <is>
          <t>Public housing has no separate row in either inventory (it appears through the Capital and Operating Fund rows). Over-income rules (HOTMA 120% AMI test) also rely on Part 5 income.</t>
        </is>
      </c>
      <c r="AD144" s="23" t="inlineStr">
        <is>
          <t>Verified — primary source</t>
        </is>
      </c>
    </row>
    <row r="145" ht="84.75" customHeight="1">
      <c r="A145" s="18" t="n"/>
      <c r="B145" s="19" t="inlineStr">
        <is>
          <t>HUD-VASH (tenant-based and project-based)</t>
        </is>
      </c>
      <c r="C145" s="11" t="n"/>
      <c r="D145" s="19" t="inlineStr">
        <is>
          <t>Public and Indian Housing</t>
        </is>
      </c>
      <c r="E145" s="11" t="n"/>
      <c r="F145" s="19" t="n"/>
      <c r="G145" s="19" t="n"/>
      <c r="H145" s="19" t="n"/>
      <c r="I145" s="21" t="n"/>
      <c r="J145" s="20" t="inlineStr">
        <is>
          <t>14.871 (within HCV)</t>
        </is>
      </c>
      <c r="K145" s="11" t="n"/>
      <c r="L145" s="11" t="n"/>
      <c r="M145" s="11" t="n"/>
      <c r="N145" s="11" t="n"/>
      <c r="O145" s="11" t="n"/>
      <c r="P145" s="11" t="n"/>
      <c r="Q145" s="11" t="n"/>
      <c r="R145" s="11" t="n"/>
      <c r="S145" s="23" t="inlineStr">
        <is>
          <t>Household income test</t>
        </is>
      </c>
      <c r="T145" s="23" t="inlineStr">
        <is>
          <t>U.S. Housing Act of 1937 (public housing &amp; Section 8)</t>
        </is>
      </c>
      <c r="U145" s="23" t="inlineStr">
        <is>
          <t>42 U.S.C. 1437a(b)(4)(B)(iv)–(v) (added by PL 119-101 §602, July 11, 2026); earlier 89 FR 65769 (FR-6476-N-01, Aug. 13, 2024)</t>
        </is>
      </c>
      <c r="V145" s="23" t="inlineStr">
        <is>
          <t>Part 5 annual income with a statutory eligibility exclusion</t>
        </is>
      </c>
      <c r="W145" s="23" t="inlineStr">
        <is>
          <t>Mandatory</t>
        </is>
      </c>
      <c r="X145" s="23" t="inlineStr">
        <is>
          <t>Excluded</t>
        </is>
      </c>
      <c r="Y145" s="23" t="inlineStr">
        <is>
          <t>Counted</t>
        </is>
      </c>
      <c r="Z145" s="23">
        <f>IF(X145="","",IF(X145="Excluded","Consistent",IF(X145="Counted","Inconsistent",IF(X145="Varies (grantee/agency choice)","Partly inconsistent",IF(X145="Not applicable","Not applicable","Needs check")))))</f>
        <v/>
      </c>
      <c r="AA145" s="23" t="inlineStr">
        <is>
          <t>Statute now excludes disability benefits under 38 U.S.C. chapter 11 (compensation) and chapter 15 (pension) received by a veteran when determining HUD-VASH income eligibility, and when a HUD-VASH household's eligibility for other housing assistance is determined — but expressly keeps them in income for adjusted income, so they still count for rent.</t>
        </is>
      </c>
      <c r="AB145" s="23" t="inlineStr">
        <is>
          <t>Congress codified HUD's 2024 waiver (which waived 1937 Act §3(b) and 5.609(a)(1) for eligibility only) after evidence that counting compensation screened out the most disabled homeless veterans (Powers v. McDonough).</t>
        </is>
      </c>
      <c r="AC145" s="23" t="inlineStr">
        <is>
          <t>Broader than PL 119-70 (also covers chapter 15 pension); narrower in keeping rent counting — the source of possible zero-HAP cases. Rev. Proc. 2024-38 mirrors the exclusion for LIHTC/PAB income determinations of HUD-VASH tenants. The research report predates PL 119-101. Codified text read on LII; BPC's section-by-section summary confirms §602; the slip-law text itself could not be retrieved.</t>
        </is>
      </c>
      <c r="AD145" s="23" t="inlineStr">
        <is>
          <t>Verified — primary source</t>
        </is>
      </c>
    </row>
  </sheetData>
  <autoFilter ref="A1:AD145"/>
  <mergeCells count="4">
    <mergeCell ref="A143:AD143"/>
    <mergeCell ref="A90:AD90"/>
    <mergeCell ref="A129:AD129"/>
    <mergeCell ref="A2:AD2"/>
  </mergeCells>
  <dataValidations count="5">
    <dataValidation sqref="S3:S145" showDropDown="0" showInputMessage="0" showErrorMessage="0" allowBlank="1" error="Pick a value from the list (or edit the Lists sheet)." type="list" errorStyle="warning">
      <formula1>Lists!$A$2:$A$6</formula1>
    </dataValidation>
    <dataValidation sqref="T3:T145" showDropDown="0" showInputMessage="0" showErrorMessage="0" allowBlank="1" error="Pick a value from the list (or edit the Lists sheet)." type="list" errorStyle="warning">
      <formula1>Lists!$B$2:$B$9</formula1>
    </dataValidation>
    <dataValidation sqref="W3:W145" showDropDown="0" showInputMessage="0" showErrorMessage="0" allowBlank="1" error="Pick a value from the list (or edit the Lists sheet)." type="list" errorStyle="warning">
      <formula1>Lists!$C$2:$C$4</formula1>
    </dataValidation>
    <dataValidation sqref="X3:Y145" showDropDown="0" showInputMessage="0" showErrorMessage="0" allowBlank="1" error="Pick a value from the list (or edit the Lists sheet)." type="list" errorStyle="warning">
      <formula1>Lists!$D$2:$D$6</formula1>
    </dataValidation>
    <dataValidation sqref="AD3:AD145" showDropDown="0" showInputMessage="0" showErrorMessage="0" allowBlank="1" error="Pick a value from the list (or edit the Lists sheet)." type="list" errorStyle="warning">
      <formula1>Lists!$E$2:$E$5</formula1>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H206"/>
  <sheetViews>
    <sheetView showGridLines="0" tabSelected="0" zoomScaleNormal="100" workbookViewId="0">
      <pane ySplit="3" topLeftCell="A4" activePane="bottomLeft" state="frozen"/>
      <selection pane="bottomLeft" activeCell="A1" sqref="A1"/>
    </sheetView>
  </sheetViews>
  <sheetFormatPr baseColWidth="8" defaultColWidth="8.6640625" defaultRowHeight="14.4"/>
  <cols>
    <col width="52" customWidth="1" min="1" max="1"/>
    <col width="16" customWidth="1" min="2" max="2"/>
    <col width="40" customWidth="1" min="3" max="3"/>
    <col width="22" customWidth="1" min="4" max="5"/>
    <col width="18" customWidth="1" min="6" max="6"/>
    <col width="26" customWidth="1" min="7" max="7"/>
    <col width="6" customWidth="1" min="8" max="8"/>
  </cols>
  <sheetData>
    <row r="1" ht="17.25" customHeight="1">
      <c r="A1" s="24" t="inlineStr">
        <is>
          <t>VA Disability Compensation Treatment — Summary</t>
        </is>
      </c>
    </row>
    <row r="2" ht="45" customHeight="1">
      <c r="A2" s="3" t="inlineStr">
        <is>
          <t>Counts are rows on the Matched Programs tab (each HUD/FPI pairing, each unmatched entry, and the supplemental rows). An umbrella HUD program that matches several FPI listings is counted once per listing (e.g., Lead Hazard Control appears 11 times). All counts and the treatment cells in the program list update when you edit columns S–AD on Matched Programs.</t>
        </is>
      </c>
    </row>
    <row r="4" ht="15" customHeight="1">
      <c r="A4" s="25" t="inlineStr">
        <is>
          <t>A. Income eligibility — how VA service-connected compensation is treated, by statutory family</t>
        </is>
      </c>
    </row>
    <row r="5" ht="31.5" customHeight="1">
      <c r="A5" s="26" t="inlineStr">
        <is>
          <t>Statutory family</t>
        </is>
      </c>
      <c r="B5" s="27" t="inlineStr">
        <is>
          <t>Counted</t>
        </is>
      </c>
      <c r="C5" s="27" t="inlineStr">
        <is>
          <t>Excluded</t>
        </is>
      </c>
      <c r="D5" s="27" t="inlineStr">
        <is>
          <t>Varies (grantee/agency choice)</t>
        </is>
      </c>
      <c r="E5" s="27" t="inlineStr">
        <is>
          <t>Not applicable</t>
        </is>
      </c>
      <c r="F5" s="27" t="inlineStr">
        <is>
          <t>Unclear / needs check</t>
        </is>
      </c>
      <c r="G5" s="27" t="inlineStr">
        <is>
          <t>Total</t>
        </is>
      </c>
    </row>
    <row r="6" ht="15" customHeight="1">
      <c r="A6" s="28" t="inlineStr">
        <is>
          <t>U.S. Housing Act of 1937 (public housing &amp; Section 8)</t>
        </is>
      </c>
      <c r="B6" s="29">
        <f>COUNTIFS('Matched Programs'!$T$3:$T$145,$A6,'Matched Programs'!$X$3:$X$145,B$5)</f>
        <v/>
      </c>
      <c r="C6" s="29">
        <f>COUNTIFS('Matched Programs'!$T$3:$T$145,$A6,'Matched Programs'!$X$3:$X$145,C$5)</f>
        <v/>
      </c>
      <c r="D6" s="29">
        <f>COUNTIFS('Matched Programs'!$T$3:$T$145,$A6,'Matched Programs'!$X$3:$X$145,D$5)</f>
        <v/>
      </c>
      <c r="E6" s="29">
        <f>COUNTIFS('Matched Programs'!$T$3:$T$145,$A6,'Matched Programs'!$X$3:$X$145,E$5)</f>
        <v/>
      </c>
      <c r="F6" s="29">
        <f>COUNTIFS('Matched Programs'!$T$3:$T$145,$A6,'Matched Programs'!$X$3:$X$145,F$5)</f>
        <v/>
      </c>
      <c r="G6" s="30">
        <f>SUM(B6:F6)</f>
        <v/>
      </c>
    </row>
    <row r="7" ht="15" customHeight="1">
      <c r="A7" s="28" t="inlineStr">
        <is>
          <t>Sec. 202 / Sec. 811 (elderly &amp; disabled housing)</t>
        </is>
      </c>
      <c r="B7" s="29">
        <f>COUNTIFS('Matched Programs'!$T$3:$T$145,$A7,'Matched Programs'!$X$3:$X$145,B$5)</f>
        <v/>
      </c>
      <c r="C7" s="29">
        <f>COUNTIFS('Matched Programs'!$T$3:$T$145,$A7,'Matched Programs'!$X$3:$X$145,C$5)</f>
        <v/>
      </c>
      <c r="D7" s="29">
        <f>COUNTIFS('Matched Programs'!$T$3:$T$145,$A7,'Matched Programs'!$X$3:$X$145,D$5)</f>
        <v/>
      </c>
      <c r="E7" s="29">
        <f>COUNTIFS('Matched Programs'!$T$3:$T$145,$A7,'Matched Programs'!$X$3:$X$145,E$5)</f>
        <v/>
      </c>
      <c r="F7" s="29">
        <f>COUNTIFS('Matched Programs'!$T$3:$T$145,$A7,'Matched Programs'!$X$3:$X$145,F$5)</f>
        <v/>
      </c>
      <c r="G7" s="30">
        <f>SUM(B7:F7)</f>
        <v/>
      </c>
    </row>
    <row r="8" ht="15" customHeight="1">
      <c r="A8" s="28" t="inlineStr">
        <is>
          <t>HCDA Title I (CDBG family)</t>
        </is>
      </c>
      <c r="B8" s="29">
        <f>COUNTIFS('Matched Programs'!$T$3:$T$145,$A8,'Matched Programs'!$X$3:$X$145,B$5)</f>
        <v/>
      </c>
      <c r="C8" s="29">
        <f>COUNTIFS('Matched Programs'!$T$3:$T$145,$A8,'Matched Programs'!$X$3:$X$145,C$5)</f>
        <v/>
      </c>
      <c r="D8" s="29">
        <f>COUNTIFS('Matched Programs'!$T$3:$T$145,$A8,'Matched Programs'!$X$3:$X$145,D$5)</f>
        <v/>
      </c>
      <c r="E8" s="29">
        <f>COUNTIFS('Matched Programs'!$T$3:$T$145,$A8,'Matched Programs'!$X$3:$X$145,E$5)</f>
        <v/>
      </c>
      <c r="F8" s="29">
        <f>COUNTIFS('Matched Programs'!$T$3:$T$145,$A8,'Matched Programs'!$X$3:$X$145,F$5)</f>
        <v/>
      </c>
      <c r="G8" s="30">
        <f>SUM(B8:F8)</f>
        <v/>
      </c>
    </row>
    <row r="9" ht="15" customHeight="1">
      <c r="A9" s="28" t="inlineStr">
        <is>
          <t>HOME / Housing Trust Fund</t>
        </is>
      </c>
      <c r="B9" s="29">
        <f>COUNTIFS('Matched Programs'!$T$3:$T$145,$A9,'Matched Programs'!$X$3:$X$145,B$5)</f>
        <v/>
      </c>
      <c r="C9" s="29">
        <f>COUNTIFS('Matched Programs'!$T$3:$T$145,$A9,'Matched Programs'!$X$3:$X$145,C$5)</f>
        <v/>
      </c>
      <c r="D9" s="29">
        <f>COUNTIFS('Matched Programs'!$T$3:$T$145,$A9,'Matched Programs'!$X$3:$X$145,D$5)</f>
        <v/>
      </c>
      <c r="E9" s="29">
        <f>COUNTIFS('Matched Programs'!$T$3:$T$145,$A9,'Matched Programs'!$X$3:$X$145,E$5)</f>
        <v/>
      </c>
      <c r="F9" s="29">
        <f>COUNTIFS('Matched Programs'!$T$3:$T$145,$A9,'Matched Programs'!$X$3:$X$145,F$5)</f>
        <v/>
      </c>
      <c r="G9" s="30">
        <f>SUM(B9:F9)</f>
        <v/>
      </c>
    </row>
    <row r="10" ht="15" customHeight="1">
      <c r="A10" s="28" t="inlineStr">
        <is>
          <t>McKinney-Vento / AIDS Housing Opportunity Act</t>
        </is>
      </c>
      <c r="B10" s="29">
        <f>COUNTIFS('Matched Programs'!$T$3:$T$145,$A10,'Matched Programs'!$X$3:$X$145,B$5)</f>
        <v/>
      </c>
      <c r="C10" s="29">
        <f>COUNTIFS('Matched Programs'!$T$3:$T$145,$A10,'Matched Programs'!$X$3:$X$145,C$5)</f>
        <v/>
      </c>
      <c r="D10" s="29">
        <f>COUNTIFS('Matched Programs'!$T$3:$T$145,$A10,'Matched Programs'!$X$3:$X$145,D$5)</f>
        <v/>
      </c>
      <c r="E10" s="29">
        <f>COUNTIFS('Matched Programs'!$T$3:$T$145,$A10,'Matched Programs'!$X$3:$X$145,E$5)</f>
        <v/>
      </c>
      <c r="F10" s="29">
        <f>COUNTIFS('Matched Programs'!$T$3:$T$145,$A10,'Matched Programs'!$X$3:$X$145,F$5)</f>
        <v/>
      </c>
      <c r="G10" s="30">
        <f>SUM(B10:F10)</f>
        <v/>
      </c>
    </row>
    <row r="11" ht="15" customHeight="1">
      <c r="A11" s="28" t="inlineStr">
        <is>
          <t>NAHASDA &amp; Native housing</t>
        </is>
      </c>
      <c r="B11" s="29">
        <f>COUNTIFS('Matched Programs'!$T$3:$T$145,$A11,'Matched Programs'!$X$3:$X$145,B$5)</f>
        <v/>
      </c>
      <c r="C11" s="29">
        <f>COUNTIFS('Matched Programs'!$T$3:$T$145,$A11,'Matched Programs'!$X$3:$X$145,C$5)</f>
        <v/>
      </c>
      <c r="D11" s="29">
        <f>COUNTIFS('Matched Programs'!$T$3:$T$145,$A11,'Matched Programs'!$X$3:$X$145,D$5)</f>
        <v/>
      </c>
      <c r="E11" s="29">
        <f>COUNTIFS('Matched Programs'!$T$3:$T$145,$A11,'Matched Programs'!$X$3:$X$145,E$5)</f>
        <v/>
      </c>
      <c r="F11" s="29">
        <f>COUNTIFS('Matched Programs'!$T$3:$T$145,$A11,'Matched Programs'!$X$3:$X$145,F$5)</f>
        <v/>
      </c>
      <c r="G11" s="30">
        <f>SUM(B11:F11)</f>
        <v/>
      </c>
    </row>
    <row r="12" ht="15" customHeight="1">
      <c r="A12" s="28" t="inlineStr">
        <is>
          <t>National Housing Act (FHA &amp; mortgage insurance)</t>
        </is>
      </c>
      <c r="B12" s="29">
        <f>COUNTIFS('Matched Programs'!$T$3:$T$145,$A12,'Matched Programs'!$X$3:$X$145,B$5)</f>
        <v/>
      </c>
      <c r="C12" s="29">
        <f>COUNTIFS('Matched Programs'!$T$3:$T$145,$A12,'Matched Programs'!$X$3:$X$145,C$5)</f>
        <v/>
      </c>
      <c r="D12" s="29">
        <f>COUNTIFS('Matched Programs'!$T$3:$T$145,$A12,'Matched Programs'!$X$3:$X$145,D$5)</f>
        <v/>
      </c>
      <c r="E12" s="29">
        <f>COUNTIFS('Matched Programs'!$T$3:$T$145,$A12,'Matched Programs'!$X$3:$X$145,E$5)</f>
        <v/>
      </c>
      <c r="F12" s="29">
        <f>COUNTIFS('Matched Programs'!$T$3:$T$145,$A12,'Matched Programs'!$X$3:$X$145,F$5)</f>
        <v/>
      </c>
      <c r="G12" s="30">
        <f>SUM(B12:F12)</f>
        <v/>
      </c>
    </row>
    <row r="13" ht="15" customHeight="1">
      <c r="A13" s="28" t="inlineStr">
        <is>
          <t>Other statutes &amp; appropriations</t>
        </is>
      </c>
      <c r="B13" s="29">
        <f>COUNTIFS('Matched Programs'!$T$3:$T$145,$A13,'Matched Programs'!$X$3:$X$145,B$5)</f>
        <v/>
      </c>
      <c r="C13" s="29">
        <f>COUNTIFS('Matched Programs'!$T$3:$T$145,$A13,'Matched Programs'!$X$3:$X$145,C$5)</f>
        <v/>
      </c>
      <c r="D13" s="29">
        <f>COUNTIFS('Matched Programs'!$T$3:$T$145,$A13,'Matched Programs'!$X$3:$X$145,D$5)</f>
        <v/>
      </c>
      <c r="E13" s="29">
        <f>COUNTIFS('Matched Programs'!$T$3:$T$145,$A13,'Matched Programs'!$X$3:$X$145,E$5)</f>
        <v/>
      </c>
      <c r="F13" s="29">
        <f>COUNTIFS('Matched Programs'!$T$3:$T$145,$A13,'Matched Programs'!$X$3:$X$145,F$5)</f>
        <v/>
      </c>
      <c r="G13" s="30">
        <f>SUM(B13:F13)</f>
        <v/>
      </c>
    </row>
    <row r="14" ht="15" customHeight="1">
      <c r="A14" s="31" t="inlineStr">
        <is>
          <t>Total</t>
        </is>
      </c>
      <c r="B14" s="30">
        <f>SUM(B6:B13)</f>
        <v/>
      </c>
      <c r="C14" s="30">
        <f>SUM(C6:C13)</f>
        <v/>
      </c>
      <c r="D14" s="30">
        <f>SUM(D6:D13)</f>
        <v/>
      </c>
      <c r="E14" s="30">
        <f>SUM(E6:E13)</f>
        <v/>
      </c>
      <c r="F14" s="30">
        <f>SUM(F6:F13)</f>
        <v/>
      </c>
      <c r="G14" s="30">
        <f>SUM(G6:G13)</f>
        <v/>
      </c>
    </row>
    <row r="16" ht="15" customHeight="1">
      <c r="A16" s="25" t="inlineStr">
        <is>
          <t>B. Rent / assistance amount — how VA service-connected compensation is treated, by statutory family</t>
        </is>
      </c>
    </row>
    <row r="17" ht="31.5" customHeight="1">
      <c r="A17" s="26" t="inlineStr">
        <is>
          <t>Statutory family</t>
        </is>
      </c>
      <c r="B17" s="27" t="inlineStr">
        <is>
          <t>Counted</t>
        </is>
      </c>
      <c r="C17" s="27" t="inlineStr">
        <is>
          <t>Excluded</t>
        </is>
      </c>
      <c r="D17" s="27" t="inlineStr">
        <is>
          <t>Varies (grantee/agency choice)</t>
        </is>
      </c>
      <c r="E17" s="27" t="inlineStr">
        <is>
          <t>Not applicable</t>
        </is>
      </c>
      <c r="F17" s="27" t="inlineStr">
        <is>
          <t>Unclear / needs check</t>
        </is>
      </c>
      <c r="G17" s="27" t="inlineStr">
        <is>
          <t>Total</t>
        </is>
      </c>
    </row>
    <row r="18" ht="15" customHeight="1">
      <c r="A18" s="28" t="inlineStr">
        <is>
          <t>U.S. Housing Act of 1937 (public housing &amp; Section 8)</t>
        </is>
      </c>
      <c r="B18" s="29">
        <f>COUNTIFS('Matched Programs'!$T$3:$T$145,$A18,'Matched Programs'!$Y$3:$Y$145,B$17)</f>
        <v/>
      </c>
      <c r="C18" s="29">
        <f>COUNTIFS('Matched Programs'!$T$3:$T$145,$A18,'Matched Programs'!$Y$3:$Y$145,C$17)</f>
        <v/>
      </c>
      <c r="D18" s="29">
        <f>COUNTIFS('Matched Programs'!$T$3:$T$145,$A18,'Matched Programs'!$Y$3:$Y$145,D$17)</f>
        <v/>
      </c>
      <c r="E18" s="29">
        <f>COUNTIFS('Matched Programs'!$T$3:$T$145,$A18,'Matched Programs'!$Y$3:$Y$145,E$17)</f>
        <v/>
      </c>
      <c r="F18" s="29">
        <f>COUNTIFS('Matched Programs'!$T$3:$T$145,$A18,'Matched Programs'!$Y$3:$Y$145,F$17)</f>
        <v/>
      </c>
      <c r="G18" s="30">
        <f>SUM(B18:F18)</f>
        <v/>
      </c>
    </row>
    <row r="19" ht="15" customHeight="1">
      <c r="A19" s="28" t="inlineStr">
        <is>
          <t>Sec. 202 / Sec. 811 (elderly &amp; disabled housing)</t>
        </is>
      </c>
      <c r="B19" s="29">
        <f>COUNTIFS('Matched Programs'!$T$3:$T$145,$A19,'Matched Programs'!$Y$3:$Y$145,B$17)</f>
        <v/>
      </c>
      <c r="C19" s="29">
        <f>COUNTIFS('Matched Programs'!$T$3:$T$145,$A19,'Matched Programs'!$Y$3:$Y$145,C$17)</f>
        <v/>
      </c>
      <c r="D19" s="29">
        <f>COUNTIFS('Matched Programs'!$T$3:$T$145,$A19,'Matched Programs'!$Y$3:$Y$145,D$17)</f>
        <v/>
      </c>
      <c r="E19" s="29">
        <f>COUNTIFS('Matched Programs'!$T$3:$T$145,$A19,'Matched Programs'!$Y$3:$Y$145,E$17)</f>
        <v/>
      </c>
      <c r="F19" s="29">
        <f>COUNTIFS('Matched Programs'!$T$3:$T$145,$A19,'Matched Programs'!$Y$3:$Y$145,F$17)</f>
        <v/>
      </c>
      <c r="G19" s="30">
        <f>SUM(B19:F19)</f>
        <v/>
      </c>
    </row>
    <row r="20" ht="15" customHeight="1">
      <c r="A20" s="28" t="inlineStr">
        <is>
          <t>HCDA Title I (CDBG family)</t>
        </is>
      </c>
      <c r="B20" s="29">
        <f>COUNTIFS('Matched Programs'!$T$3:$T$145,$A20,'Matched Programs'!$Y$3:$Y$145,B$17)</f>
        <v/>
      </c>
      <c r="C20" s="29">
        <f>COUNTIFS('Matched Programs'!$T$3:$T$145,$A20,'Matched Programs'!$Y$3:$Y$145,C$17)</f>
        <v/>
      </c>
      <c r="D20" s="29">
        <f>COUNTIFS('Matched Programs'!$T$3:$T$145,$A20,'Matched Programs'!$Y$3:$Y$145,D$17)</f>
        <v/>
      </c>
      <c r="E20" s="29">
        <f>COUNTIFS('Matched Programs'!$T$3:$T$145,$A20,'Matched Programs'!$Y$3:$Y$145,E$17)</f>
        <v/>
      </c>
      <c r="F20" s="29">
        <f>COUNTIFS('Matched Programs'!$T$3:$T$145,$A20,'Matched Programs'!$Y$3:$Y$145,F$17)</f>
        <v/>
      </c>
      <c r="G20" s="30">
        <f>SUM(B20:F20)</f>
        <v/>
      </c>
    </row>
    <row r="21" ht="15" customHeight="1">
      <c r="A21" s="28" t="inlineStr">
        <is>
          <t>HOME / Housing Trust Fund</t>
        </is>
      </c>
      <c r="B21" s="29">
        <f>COUNTIFS('Matched Programs'!$T$3:$T$145,$A21,'Matched Programs'!$Y$3:$Y$145,B$17)</f>
        <v/>
      </c>
      <c r="C21" s="29">
        <f>COUNTIFS('Matched Programs'!$T$3:$T$145,$A21,'Matched Programs'!$Y$3:$Y$145,C$17)</f>
        <v/>
      </c>
      <c r="D21" s="29">
        <f>COUNTIFS('Matched Programs'!$T$3:$T$145,$A21,'Matched Programs'!$Y$3:$Y$145,D$17)</f>
        <v/>
      </c>
      <c r="E21" s="29">
        <f>COUNTIFS('Matched Programs'!$T$3:$T$145,$A21,'Matched Programs'!$Y$3:$Y$145,E$17)</f>
        <v/>
      </c>
      <c r="F21" s="29">
        <f>COUNTIFS('Matched Programs'!$T$3:$T$145,$A21,'Matched Programs'!$Y$3:$Y$145,F$17)</f>
        <v/>
      </c>
      <c r="G21" s="30">
        <f>SUM(B21:F21)</f>
        <v/>
      </c>
    </row>
    <row r="22" ht="15" customHeight="1">
      <c r="A22" s="28" t="inlineStr">
        <is>
          <t>McKinney-Vento / AIDS Housing Opportunity Act</t>
        </is>
      </c>
      <c r="B22" s="29">
        <f>COUNTIFS('Matched Programs'!$T$3:$T$145,$A22,'Matched Programs'!$Y$3:$Y$145,B$17)</f>
        <v/>
      </c>
      <c r="C22" s="29">
        <f>COUNTIFS('Matched Programs'!$T$3:$T$145,$A22,'Matched Programs'!$Y$3:$Y$145,C$17)</f>
        <v/>
      </c>
      <c r="D22" s="29">
        <f>COUNTIFS('Matched Programs'!$T$3:$T$145,$A22,'Matched Programs'!$Y$3:$Y$145,D$17)</f>
        <v/>
      </c>
      <c r="E22" s="29">
        <f>COUNTIFS('Matched Programs'!$T$3:$T$145,$A22,'Matched Programs'!$Y$3:$Y$145,E$17)</f>
        <v/>
      </c>
      <c r="F22" s="29">
        <f>COUNTIFS('Matched Programs'!$T$3:$T$145,$A22,'Matched Programs'!$Y$3:$Y$145,F$17)</f>
        <v/>
      </c>
      <c r="G22" s="30">
        <f>SUM(B22:F22)</f>
        <v/>
      </c>
    </row>
    <row r="23" ht="15" customHeight="1">
      <c r="A23" s="28" t="inlineStr">
        <is>
          <t>NAHASDA &amp; Native housing</t>
        </is>
      </c>
      <c r="B23" s="29">
        <f>COUNTIFS('Matched Programs'!$T$3:$T$145,$A23,'Matched Programs'!$Y$3:$Y$145,B$17)</f>
        <v/>
      </c>
      <c r="C23" s="29">
        <f>COUNTIFS('Matched Programs'!$T$3:$T$145,$A23,'Matched Programs'!$Y$3:$Y$145,C$17)</f>
        <v/>
      </c>
      <c r="D23" s="29">
        <f>COUNTIFS('Matched Programs'!$T$3:$T$145,$A23,'Matched Programs'!$Y$3:$Y$145,D$17)</f>
        <v/>
      </c>
      <c r="E23" s="29">
        <f>COUNTIFS('Matched Programs'!$T$3:$T$145,$A23,'Matched Programs'!$Y$3:$Y$145,E$17)</f>
        <v/>
      </c>
      <c r="F23" s="29">
        <f>COUNTIFS('Matched Programs'!$T$3:$T$145,$A23,'Matched Programs'!$Y$3:$Y$145,F$17)</f>
        <v/>
      </c>
      <c r="G23" s="30">
        <f>SUM(B23:F23)</f>
        <v/>
      </c>
    </row>
    <row r="24" ht="15" customHeight="1">
      <c r="A24" s="28" t="inlineStr">
        <is>
          <t>National Housing Act (FHA &amp; mortgage insurance)</t>
        </is>
      </c>
      <c r="B24" s="29">
        <f>COUNTIFS('Matched Programs'!$T$3:$T$145,$A24,'Matched Programs'!$Y$3:$Y$145,B$17)</f>
        <v/>
      </c>
      <c r="C24" s="29">
        <f>COUNTIFS('Matched Programs'!$T$3:$T$145,$A24,'Matched Programs'!$Y$3:$Y$145,C$17)</f>
        <v/>
      </c>
      <c r="D24" s="29">
        <f>COUNTIFS('Matched Programs'!$T$3:$T$145,$A24,'Matched Programs'!$Y$3:$Y$145,D$17)</f>
        <v/>
      </c>
      <c r="E24" s="29">
        <f>COUNTIFS('Matched Programs'!$T$3:$T$145,$A24,'Matched Programs'!$Y$3:$Y$145,E$17)</f>
        <v/>
      </c>
      <c r="F24" s="29">
        <f>COUNTIFS('Matched Programs'!$T$3:$T$145,$A24,'Matched Programs'!$Y$3:$Y$145,F$17)</f>
        <v/>
      </c>
      <c r="G24" s="30">
        <f>SUM(B24:F24)</f>
        <v/>
      </c>
    </row>
    <row r="25" ht="15" customHeight="1">
      <c r="A25" s="28" t="inlineStr">
        <is>
          <t>Other statutes &amp; appropriations</t>
        </is>
      </c>
      <c r="B25" s="29">
        <f>COUNTIFS('Matched Programs'!$T$3:$T$145,$A25,'Matched Programs'!$Y$3:$Y$145,B$17)</f>
        <v/>
      </c>
      <c r="C25" s="29">
        <f>COUNTIFS('Matched Programs'!$T$3:$T$145,$A25,'Matched Programs'!$Y$3:$Y$145,C$17)</f>
        <v/>
      </c>
      <c r="D25" s="29">
        <f>COUNTIFS('Matched Programs'!$T$3:$T$145,$A25,'Matched Programs'!$Y$3:$Y$145,D$17)</f>
        <v/>
      </c>
      <c r="E25" s="29">
        <f>COUNTIFS('Matched Programs'!$T$3:$T$145,$A25,'Matched Programs'!$Y$3:$Y$145,E$17)</f>
        <v/>
      </c>
      <c r="F25" s="29">
        <f>COUNTIFS('Matched Programs'!$T$3:$T$145,$A25,'Matched Programs'!$Y$3:$Y$145,F$17)</f>
        <v/>
      </c>
      <c r="G25" s="30">
        <f>SUM(B25:F25)</f>
        <v/>
      </c>
    </row>
    <row r="26" ht="15" customHeight="1">
      <c r="A26" s="31" t="inlineStr">
        <is>
          <t>Total</t>
        </is>
      </c>
      <c r="B26" s="30">
        <f>SUM(B18:B25)</f>
        <v/>
      </c>
      <c r="C26" s="30">
        <f>SUM(C18:C25)</f>
        <v/>
      </c>
      <c r="D26" s="30">
        <f>SUM(D18:D25)</f>
        <v/>
      </c>
      <c r="E26" s="30">
        <f>SUM(E18:E25)</f>
        <v/>
      </c>
      <c r="F26" s="30">
        <f>SUM(F18:F25)</f>
        <v/>
      </c>
      <c r="G26" s="30">
        <f>SUM(G18:G25)</f>
        <v/>
      </c>
    </row>
    <row r="28" ht="15" customHeight="1">
      <c r="A28" s="25" t="inlineStr">
        <is>
          <t>C. Eligibility treatment vs. PL 119-70 §2 (which requires exclusion for CDBG low/mod determinations)</t>
        </is>
      </c>
    </row>
    <row r="29" ht="15" customHeight="1">
      <c r="A29" s="32" t="inlineStr">
        <is>
          <t>Result</t>
        </is>
      </c>
      <c r="B29" s="32" t="inlineStr">
        <is>
          <t>Rows</t>
        </is>
      </c>
      <c r="C29" s="32" t="inlineStr">
        <is>
          <t>Meaning</t>
        </is>
      </c>
      <c r="D29" s="53" t="n"/>
      <c r="E29" s="53" t="n"/>
      <c r="F29" s="53" t="n"/>
      <c r="G29" s="54" t="n"/>
    </row>
    <row r="30" ht="15" customHeight="1">
      <c r="A30" s="28" t="inlineStr">
        <is>
          <t>Consistent</t>
        </is>
      </c>
      <c r="B30" s="29">
        <f>COUNTIF('Matched Programs'!$Z$3:$Z$145,A30)</f>
        <v/>
      </c>
      <c r="C30" s="28" t="inlineStr">
        <is>
          <t>VA compensation excluded for eligibility, as PL 119-70 requires for CDBG</t>
        </is>
      </c>
      <c r="D30" s="53" t="n"/>
      <c r="E30" s="53" t="n"/>
      <c r="F30" s="53" t="n"/>
      <c r="G30" s="54" t="n"/>
    </row>
    <row r="31" ht="15" customHeight="1">
      <c r="A31" s="28" t="inlineStr">
        <is>
          <t>Inconsistent</t>
        </is>
      </c>
      <c r="B31" s="29">
        <f>COUNTIF('Matched Programs'!$Z$3:$Z$145,A31)</f>
        <v/>
      </c>
      <c r="C31" s="28" t="inlineStr">
        <is>
          <t>VA compensation counted for eligibility</t>
        </is>
      </c>
      <c r="D31" s="53" t="n"/>
      <c r="E31" s="53" t="n"/>
      <c r="F31" s="53" t="n"/>
      <c r="G31" s="54" t="n"/>
    </row>
    <row r="32" ht="15" customHeight="1">
      <c r="A32" s="28" t="inlineStr">
        <is>
          <t>Partly inconsistent</t>
        </is>
      </c>
      <c r="B32" s="29">
        <f>COUNTIF('Matched Programs'!$Z$3:$Z$145,A32)</f>
        <v/>
      </c>
      <c r="C32" s="28" t="inlineStr">
        <is>
          <t>Depends on the income definition the grantee/agency chooses</t>
        </is>
      </c>
      <c r="D32" s="53" t="n"/>
      <c r="E32" s="53" t="n"/>
      <c r="F32" s="53" t="n"/>
      <c r="G32" s="54" t="n"/>
    </row>
    <row r="33" ht="15" customHeight="1">
      <c r="A33" s="28" t="inlineStr">
        <is>
          <t>Needs check</t>
        </is>
      </c>
      <c r="B33" s="29">
        <f>COUNTIF('Matched Programs'!$Z$3:$Z$145,A33)</f>
        <v/>
      </c>
      <c r="C33" s="28" t="inlineStr">
        <is>
          <t>Treatment unclear from sources reviewed</t>
        </is>
      </c>
      <c r="D33" s="53" t="n"/>
      <c r="E33" s="53" t="n"/>
      <c r="F33" s="53" t="n"/>
      <c r="G33" s="54" t="n"/>
    </row>
    <row r="34" ht="15" customHeight="1">
      <c r="A34" s="28" t="inlineStr">
        <is>
          <t>Not applicable</t>
        </is>
      </c>
      <c r="B34" s="29">
        <f>COUNTIF('Matched Programs'!$Z$3:$Z$145,A34)</f>
        <v/>
      </c>
      <c r="C34" s="28" t="inlineStr">
        <is>
          <t>No household income eligibility test</t>
        </is>
      </c>
      <c r="D34" s="53" t="n"/>
      <c r="E34" s="53" t="n"/>
      <c r="F34" s="53" t="n"/>
      <c r="G34" s="54" t="n"/>
    </row>
    <row r="37" ht="15" customHeight="1">
      <c r="A37" s="25" t="inlineStr">
        <is>
          <t>D. Programs by statutory family, grouped by eligibility treatment</t>
        </is>
      </c>
    </row>
    <row r="38" ht="30" customHeight="1">
      <c r="A38" s="3" t="inlineStr">
        <is>
          <t>Grouping reflects classifications as of Sept. 29, 2026. Treatment cells are live links to Matched Programs; if you change a program's family or eligibility there, the counts above update but this list won't re-sort. "Go" jumps to the row.</t>
        </is>
      </c>
    </row>
    <row r="39" ht="30" customHeight="1">
      <c r="A39" s="33" t="inlineStr">
        <is>
          <t>Program (HUD name, else FPI title)</t>
        </is>
      </c>
      <c r="B39" s="33" t="inlineStr">
        <is>
          <t>AL #</t>
        </is>
      </c>
      <c r="C39" s="33" t="inlineStr">
        <is>
          <t>FPI listing title</t>
        </is>
      </c>
      <c r="D39" s="33" t="inlineStr">
        <is>
          <t>VA Comp — Eligibility</t>
        </is>
      </c>
      <c r="E39" s="33" t="inlineStr">
        <is>
          <t>VA Comp — Rent</t>
        </is>
      </c>
      <c r="F39" s="33" t="inlineStr">
        <is>
          <t>vs. PL 119-70</t>
        </is>
      </c>
      <c r="G39" s="33" t="inlineStr">
        <is>
          <t>Verification</t>
        </is>
      </c>
      <c r="H39" s="33" t="inlineStr">
        <is>
          <t>Go</t>
        </is>
      </c>
    </row>
    <row r="40" ht="15" customHeight="1">
      <c r="A40" s="34" t="inlineStr">
        <is>
          <t>U.S. Housing Act of 1937 (public housing &amp; Section 8)</t>
        </is>
      </c>
      <c r="B40" s="35" t="n"/>
      <c r="C40" s="35" t="n"/>
      <c r="D40" s="35" t="n"/>
      <c r="E40" s="35" t="n"/>
      <c r="F40" s="35" t="n"/>
      <c r="G40" s="35" t="n"/>
      <c r="H40" s="35" t="n"/>
    </row>
    <row r="41" ht="15" customHeight="1">
      <c r="A41" s="36" t="inlineStr">
        <is>
          <t xml:space="preserve">   Eligibility: Excluded</t>
        </is>
      </c>
      <c r="B41" s="37" t="n"/>
      <c r="C41" s="37" t="n"/>
      <c r="D41" s="37" t="n"/>
      <c r="E41" s="37" t="n"/>
      <c r="F41" s="37" t="n"/>
      <c r="G41" s="37" t="n"/>
      <c r="H41" s="37" t="n"/>
    </row>
    <row r="42" ht="27.75" customHeight="1">
      <c r="A42" s="38">
        <f>IF('Matched Programs'!B145&lt;&gt;"",'Matched Programs'!B145,'Matched Programs'!C145)</f>
        <v/>
      </c>
      <c r="B42" s="38">
        <f>IF('Matched Programs'!J145="","",'Matched Programs'!J145)</f>
        <v/>
      </c>
      <c r="C42" s="38">
        <f>IF(AND('Matched Programs'!B145&lt;&gt;"",'Matched Programs'!C145&lt;&gt;""),'Matched Programs'!C145,"")</f>
        <v/>
      </c>
      <c r="D42" s="38">
        <f>'Matched Programs'!X145</f>
        <v/>
      </c>
      <c r="E42" s="38">
        <f>'Matched Programs'!Y145</f>
        <v/>
      </c>
      <c r="F42" s="38">
        <f>'Matched Programs'!Z145</f>
        <v/>
      </c>
      <c r="G42" s="38">
        <f>'Matched Programs'!AD145</f>
        <v/>
      </c>
      <c r="H42" s="39">
        <f>HYPERLINK("#'Matched Programs'!B145","Go")</f>
        <v/>
      </c>
    </row>
    <row r="43" ht="15" customHeight="1">
      <c r="A43" s="36" t="inlineStr">
        <is>
          <t xml:space="preserve">   Eligibility: Counted</t>
        </is>
      </c>
      <c r="B43" s="37" t="n"/>
      <c r="C43" s="37" t="n"/>
      <c r="D43" s="37" t="n"/>
      <c r="E43" s="37" t="n"/>
      <c r="F43" s="37" t="n"/>
      <c r="G43" s="37" t="n"/>
      <c r="H43" s="37" t="n"/>
    </row>
    <row r="44" ht="15" customHeight="1">
      <c r="A44" s="38">
        <f>IF('Matched Programs'!B37&lt;&gt;"",'Matched Programs'!B37,'Matched Programs'!C37)</f>
        <v/>
      </c>
      <c r="B44" s="38">
        <f>IF('Matched Programs'!J37="","",'Matched Programs'!J37)</f>
        <v/>
      </c>
      <c r="C44" s="38">
        <f>IF(AND('Matched Programs'!B37&lt;&gt;"",'Matched Programs'!C37&lt;&gt;""),'Matched Programs'!C37,"")</f>
        <v/>
      </c>
      <c r="D44" s="38">
        <f>'Matched Programs'!X37</f>
        <v/>
      </c>
      <c r="E44" s="38">
        <f>'Matched Programs'!Y37</f>
        <v/>
      </c>
      <c r="F44" s="38">
        <f>'Matched Programs'!Z37</f>
        <v/>
      </c>
      <c r="G44" s="38">
        <f>'Matched Programs'!AD37</f>
        <v/>
      </c>
      <c r="H44" s="39">
        <f>HYPERLINK("#'Matched Programs'!B37","Go")</f>
        <v/>
      </c>
    </row>
    <row r="45" ht="15" customHeight="1">
      <c r="A45" s="38">
        <f>IF('Matched Programs'!B50&lt;&gt;"",'Matched Programs'!B50,'Matched Programs'!C50)</f>
        <v/>
      </c>
      <c r="B45" s="38">
        <f>IF('Matched Programs'!J50="","",'Matched Programs'!J50)</f>
        <v/>
      </c>
      <c r="C45" s="38">
        <f>IF(AND('Matched Programs'!B50&lt;&gt;"",'Matched Programs'!C50&lt;&gt;""),'Matched Programs'!C50,"")</f>
        <v/>
      </c>
      <c r="D45" s="38">
        <f>'Matched Programs'!X50</f>
        <v/>
      </c>
      <c r="E45" s="38">
        <f>'Matched Programs'!Y50</f>
        <v/>
      </c>
      <c r="F45" s="38">
        <f>'Matched Programs'!Z50</f>
        <v/>
      </c>
      <c r="G45" s="38">
        <f>'Matched Programs'!AD50</f>
        <v/>
      </c>
      <c r="H45" s="39">
        <f>HYPERLINK("#'Matched Programs'!B50","Go")</f>
        <v/>
      </c>
    </row>
    <row r="46" ht="27.75" customHeight="1">
      <c r="A46" s="38">
        <f>IF('Matched Programs'!B52&lt;&gt;"",'Matched Programs'!B52,'Matched Programs'!C52)</f>
        <v/>
      </c>
      <c r="B46" s="38">
        <f>IF('Matched Programs'!J52="","",'Matched Programs'!J52)</f>
        <v/>
      </c>
      <c r="C46" s="38">
        <f>IF(AND('Matched Programs'!B52&lt;&gt;"",'Matched Programs'!C52&lt;&gt;""),'Matched Programs'!C52,"")</f>
        <v/>
      </c>
      <c r="D46" s="38">
        <f>'Matched Programs'!X52</f>
        <v/>
      </c>
      <c r="E46" s="38">
        <f>'Matched Programs'!Y52</f>
        <v/>
      </c>
      <c r="F46" s="38">
        <f>'Matched Programs'!Z52</f>
        <v/>
      </c>
      <c r="G46" s="38">
        <f>'Matched Programs'!AD52</f>
        <v/>
      </c>
      <c r="H46" s="39">
        <f>HYPERLINK("#'Matched Programs'!B52","Go")</f>
        <v/>
      </c>
    </row>
    <row r="47" ht="15" customHeight="1">
      <c r="A47" s="38">
        <f>IF('Matched Programs'!B102&lt;&gt;"",'Matched Programs'!B102,'Matched Programs'!C102)</f>
        <v/>
      </c>
      <c r="B47" s="38">
        <f>IF('Matched Programs'!J102="","",'Matched Programs'!J102)</f>
        <v/>
      </c>
      <c r="C47" s="38">
        <f>IF(AND('Matched Programs'!B102&lt;&gt;"",'Matched Programs'!C102&lt;&gt;""),'Matched Programs'!C102,"")</f>
        <v/>
      </c>
      <c r="D47" s="38">
        <f>'Matched Programs'!X102</f>
        <v/>
      </c>
      <c r="E47" s="38">
        <f>'Matched Programs'!Y102</f>
        <v/>
      </c>
      <c r="F47" s="38">
        <f>'Matched Programs'!Z102</f>
        <v/>
      </c>
      <c r="G47" s="38">
        <f>'Matched Programs'!AD102</f>
        <v/>
      </c>
      <c r="H47" s="39">
        <f>HYPERLINK("#'Matched Programs'!B102","Go")</f>
        <v/>
      </c>
    </row>
    <row r="48" ht="15" customHeight="1">
      <c r="A48" s="38">
        <f>IF('Matched Programs'!B103&lt;&gt;"",'Matched Programs'!B103,'Matched Programs'!C103)</f>
        <v/>
      </c>
      <c r="B48" s="38">
        <f>IF('Matched Programs'!J103="","",'Matched Programs'!J103)</f>
        <v/>
      </c>
      <c r="C48" s="38">
        <f>IF(AND('Matched Programs'!B103&lt;&gt;"",'Matched Programs'!C103&lt;&gt;""),'Matched Programs'!C103,"")</f>
        <v/>
      </c>
      <c r="D48" s="38">
        <f>'Matched Programs'!X103</f>
        <v/>
      </c>
      <c r="E48" s="38">
        <f>'Matched Programs'!Y103</f>
        <v/>
      </c>
      <c r="F48" s="38">
        <f>'Matched Programs'!Z103</f>
        <v/>
      </c>
      <c r="G48" s="38">
        <f>'Matched Programs'!AD103</f>
        <v/>
      </c>
      <c r="H48" s="39">
        <f>HYPERLINK("#'Matched Programs'!B103","Go")</f>
        <v/>
      </c>
    </row>
    <row r="49" ht="15" customHeight="1">
      <c r="A49" s="38">
        <f>IF('Matched Programs'!B113&lt;&gt;"",'Matched Programs'!B113,'Matched Programs'!C113)</f>
        <v/>
      </c>
      <c r="B49" s="38">
        <f>IF('Matched Programs'!J113="","",'Matched Programs'!J113)</f>
        <v/>
      </c>
      <c r="C49" s="38">
        <f>IF(AND('Matched Programs'!B113&lt;&gt;"",'Matched Programs'!C113&lt;&gt;""),'Matched Programs'!C113,"")</f>
        <v/>
      </c>
      <c r="D49" s="38">
        <f>'Matched Programs'!X113</f>
        <v/>
      </c>
      <c r="E49" s="38">
        <f>'Matched Programs'!Y113</f>
        <v/>
      </c>
      <c r="F49" s="38">
        <f>'Matched Programs'!Z113</f>
        <v/>
      </c>
      <c r="G49" s="38">
        <f>'Matched Programs'!AD113</f>
        <v/>
      </c>
      <c r="H49" s="39">
        <f>HYPERLINK("#'Matched Programs'!B113","Go")</f>
        <v/>
      </c>
    </row>
    <row r="50" ht="15" customHeight="1">
      <c r="A50" s="38">
        <f>IF('Matched Programs'!B114&lt;&gt;"",'Matched Programs'!B114,'Matched Programs'!C114)</f>
        <v/>
      </c>
      <c r="B50" s="38">
        <f>IF('Matched Programs'!J114="","",'Matched Programs'!J114)</f>
        <v/>
      </c>
      <c r="C50" s="38">
        <f>IF(AND('Matched Programs'!B114&lt;&gt;"",'Matched Programs'!C114&lt;&gt;""),'Matched Programs'!C114,"")</f>
        <v/>
      </c>
      <c r="D50" s="38">
        <f>'Matched Programs'!X114</f>
        <v/>
      </c>
      <c r="E50" s="38">
        <f>'Matched Programs'!Y114</f>
        <v/>
      </c>
      <c r="F50" s="38">
        <f>'Matched Programs'!Z114</f>
        <v/>
      </c>
      <c r="G50" s="38">
        <f>'Matched Programs'!AD114</f>
        <v/>
      </c>
      <c r="H50" s="39">
        <f>HYPERLINK("#'Matched Programs'!B114","Go")</f>
        <v/>
      </c>
    </row>
    <row r="51" ht="15" customHeight="1">
      <c r="A51" s="38">
        <f>IF('Matched Programs'!B132&lt;&gt;"",'Matched Programs'!B132,'Matched Programs'!C132)</f>
        <v/>
      </c>
      <c r="B51" s="38">
        <f>IF('Matched Programs'!J132="","",'Matched Programs'!J132)</f>
        <v/>
      </c>
      <c r="C51" s="38">
        <f>IF(AND('Matched Programs'!B132&lt;&gt;"",'Matched Programs'!C132&lt;&gt;""),'Matched Programs'!C132,"")</f>
        <v/>
      </c>
      <c r="D51" s="38">
        <f>'Matched Programs'!X132</f>
        <v/>
      </c>
      <c r="E51" s="38">
        <f>'Matched Programs'!Y132</f>
        <v/>
      </c>
      <c r="F51" s="38">
        <f>'Matched Programs'!Z132</f>
        <v/>
      </c>
      <c r="G51" s="38">
        <f>'Matched Programs'!AD132</f>
        <v/>
      </c>
      <c r="H51" s="39">
        <f>HYPERLINK("#'Matched Programs'!B132","Go")</f>
        <v/>
      </c>
    </row>
    <row r="52" ht="27.75" customHeight="1">
      <c r="A52" s="38">
        <f>IF('Matched Programs'!B138&lt;&gt;"",'Matched Programs'!B138,'Matched Programs'!C138)</f>
        <v/>
      </c>
      <c r="B52" s="38">
        <f>IF('Matched Programs'!J138="","",'Matched Programs'!J138)</f>
        <v/>
      </c>
      <c r="C52" s="38">
        <f>IF(AND('Matched Programs'!B138&lt;&gt;"",'Matched Programs'!C138&lt;&gt;""),'Matched Programs'!C138,"")</f>
        <v/>
      </c>
      <c r="D52" s="38">
        <f>'Matched Programs'!X138</f>
        <v/>
      </c>
      <c r="E52" s="38">
        <f>'Matched Programs'!Y138</f>
        <v/>
      </c>
      <c r="F52" s="38">
        <f>'Matched Programs'!Z138</f>
        <v/>
      </c>
      <c r="G52" s="38">
        <f>'Matched Programs'!AD138</f>
        <v/>
      </c>
      <c r="H52" s="39">
        <f>HYPERLINK("#'Matched Programs'!B138","Go")</f>
        <v/>
      </c>
    </row>
    <row r="53" ht="15" customHeight="1">
      <c r="A53" s="38">
        <f>IF('Matched Programs'!B141&lt;&gt;"",'Matched Programs'!B141,'Matched Programs'!C141)</f>
        <v/>
      </c>
      <c r="B53" s="38">
        <f>IF('Matched Programs'!J141="","",'Matched Programs'!J141)</f>
        <v/>
      </c>
      <c r="C53" s="38">
        <f>IF(AND('Matched Programs'!B141&lt;&gt;"",'Matched Programs'!C141&lt;&gt;""),'Matched Programs'!C141,"")</f>
        <v/>
      </c>
      <c r="D53" s="38">
        <f>'Matched Programs'!X141</f>
        <v/>
      </c>
      <c r="E53" s="38">
        <f>'Matched Programs'!Y141</f>
        <v/>
      </c>
      <c r="F53" s="38">
        <f>'Matched Programs'!Z141</f>
        <v/>
      </c>
      <c r="G53" s="38">
        <f>'Matched Programs'!AD141</f>
        <v/>
      </c>
      <c r="H53" s="39">
        <f>HYPERLINK("#'Matched Programs'!B141","Go")</f>
        <v/>
      </c>
    </row>
    <row r="54" ht="15" customHeight="1">
      <c r="A54" s="38">
        <f>IF('Matched Programs'!B142&lt;&gt;"",'Matched Programs'!B142,'Matched Programs'!C142)</f>
        <v/>
      </c>
      <c r="B54" s="38">
        <f>IF('Matched Programs'!J142="","",'Matched Programs'!J142)</f>
        <v/>
      </c>
      <c r="C54" s="38">
        <f>IF(AND('Matched Programs'!B142&lt;&gt;"",'Matched Programs'!C142&lt;&gt;""),'Matched Programs'!C142,"")</f>
        <v/>
      </c>
      <c r="D54" s="38">
        <f>'Matched Programs'!X142</f>
        <v/>
      </c>
      <c r="E54" s="38">
        <f>'Matched Programs'!Y142</f>
        <v/>
      </c>
      <c r="F54" s="38">
        <f>'Matched Programs'!Z142</f>
        <v/>
      </c>
      <c r="G54" s="38">
        <f>'Matched Programs'!AD142</f>
        <v/>
      </c>
      <c r="H54" s="39">
        <f>HYPERLINK("#'Matched Programs'!B142","Go")</f>
        <v/>
      </c>
    </row>
    <row r="55" ht="15" customHeight="1">
      <c r="A55" s="38">
        <f>IF('Matched Programs'!B144&lt;&gt;"",'Matched Programs'!B144,'Matched Programs'!C144)</f>
        <v/>
      </c>
      <c r="B55" s="38">
        <f>IF('Matched Programs'!J144="","",'Matched Programs'!J144)</f>
        <v/>
      </c>
      <c r="C55" s="38">
        <f>IF(AND('Matched Programs'!B144&lt;&gt;"",'Matched Programs'!C144&lt;&gt;""),'Matched Programs'!C144,"")</f>
        <v/>
      </c>
      <c r="D55" s="38">
        <f>'Matched Programs'!X144</f>
        <v/>
      </c>
      <c r="E55" s="38">
        <f>'Matched Programs'!Y144</f>
        <v/>
      </c>
      <c r="F55" s="38">
        <f>'Matched Programs'!Z144</f>
        <v/>
      </c>
      <c r="G55" s="38">
        <f>'Matched Programs'!AD144</f>
        <v/>
      </c>
      <c r="H55" s="39">
        <f>HYPERLINK("#'Matched Programs'!B144","Go")</f>
        <v/>
      </c>
    </row>
    <row r="56" ht="15" customHeight="1">
      <c r="A56" s="36" t="inlineStr">
        <is>
          <t xml:space="preserve">   Eligibility: Unclear / needs check</t>
        </is>
      </c>
      <c r="B56" s="37" t="n"/>
      <c r="C56" s="37" t="n"/>
      <c r="D56" s="37" t="n"/>
      <c r="E56" s="37" t="n"/>
      <c r="F56" s="37" t="n"/>
      <c r="G56" s="37" t="n"/>
      <c r="H56" s="37" t="n"/>
    </row>
    <row r="57" ht="27.75" customHeight="1">
      <c r="A57" s="38">
        <f>IF('Matched Programs'!B140&lt;&gt;"",'Matched Programs'!B140,'Matched Programs'!C140)</f>
        <v/>
      </c>
      <c r="B57" s="38">
        <f>IF('Matched Programs'!J140="","",'Matched Programs'!J140)</f>
        <v/>
      </c>
      <c r="C57" s="38">
        <f>IF(AND('Matched Programs'!B140&lt;&gt;"",'Matched Programs'!C140&lt;&gt;""),'Matched Programs'!C140,"")</f>
        <v/>
      </c>
      <c r="D57" s="38">
        <f>'Matched Programs'!X140</f>
        <v/>
      </c>
      <c r="E57" s="38">
        <f>'Matched Programs'!Y140</f>
        <v/>
      </c>
      <c r="F57" s="38">
        <f>'Matched Programs'!Z140</f>
        <v/>
      </c>
      <c r="G57" s="38">
        <f>'Matched Programs'!AD140</f>
        <v/>
      </c>
      <c r="H57" s="39">
        <f>HYPERLINK("#'Matched Programs'!B140","Go")</f>
        <v/>
      </c>
    </row>
    <row r="58" ht="15" customHeight="1">
      <c r="A58" s="36" t="inlineStr">
        <is>
          <t xml:space="preserve">   Eligibility: Not applicable</t>
        </is>
      </c>
      <c r="B58" s="37" t="n"/>
      <c r="C58" s="37" t="n"/>
      <c r="D58" s="37" t="n"/>
      <c r="E58" s="37" t="n"/>
      <c r="F58" s="37" t="n"/>
      <c r="G58" s="37" t="n"/>
      <c r="H58" s="37" t="n"/>
    </row>
    <row r="59" ht="27.75" customHeight="1">
      <c r="A59" s="38">
        <f>IF('Matched Programs'!B47&lt;&gt;"",'Matched Programs'!B47,'Matched Programs'!C47)</f>
        <v/>
      </c>
      <c r="B59" s="38">
        <f>IF('Matched Programs'!J47="","",'Matched Programs'!J47)</f>
        <v/>
      </c>
      <c r="C59" s="38">
        <f>IF(AND('Matched Programs'!B47&lt;&gt;"",'Matched Programs'!C47&lt;&gt;""),'Matched Programs'!C47,"")</f>
        <v/>
      </c>
      <c r="D59" s="38">
        <f>'Matched Programs'!X47</f>
        <v/>
      </c>
      <c r="E59" s="38">
        <f>'Matched Programs'!Y47</f>
        <v/>
      </c>
      <c r="F59" s="38">
        <f>'Matched Programs'!Z47</f>
        <v/>
      </c>
      <c r="G59" s="38">
        <f>'Matched Programs'!AD47</f>
        <v/>
      </c>
      <c r="H59" s="39">
        <f>HYPERLINK("#'Matched Programs'!B47","Go")</f>
        <v/>
      </c>
    </row>
    <row r="60" ht="27.75" customHeight="1">
      <c r="A60" s="38">
        <f>IF('Matched Programs'!B48&lt;&gt;"",'Matched Programs'!B48,'Matched Programs'!C48)</f>
        <v/>
      </c>
      <c r="B60" s="38">
        <f>IF('Matched Programs'!J48="","",'Matched Programs'!J48)</f>
        <v/>
      </c>
      <c r="C60" s="38">
        <f>IF(AND('Matched Programs'!B48&lt;&gt;"",'Matched Programs'!C48&lt;&gt;""),'Matched Programs'!C48,"")</f>
        <v/>
      </c>
      <c r="D60" s="38">
        <f>'Matched Programs'!X48</f>
        <v/>
      </c>
      <c r="E60" s="38">
        <f>'Matched Programs'!Y48</f>
        <v/>
      </c>
      <c r="F60" s="38">
        <f>'Matched Programs'!Z48</f>
        <v/>
      </c>
      <c r="G60" s="38">
        <f>'Matched Programs'!AD48</f>
        <v/>
      </c>
      <c r="H60" s="39">
        <f>HYPERLINK("#'Matched Programs'!B48","Go")</f>
        <v/>
      </c>
    </row>
    <row r="61" ht="15" customHeight="1">
      <c r="A61" s="38">
        <f>IF('Matched Programs'!B49&lt;&gt;"",'Matched Programs'!B49,'Matched Programs'!C49)</f>
        <v/>
      </c>
      <c r="B61" s="38">
        <f>IF('Matched Programs'!J49="","",'Matched Programs'!J49)</f>
        <v/>
      </c>
      <c r="C61" s="38">
        <f>IF(AND('Matched Programs'!B49&lt;&gt;"",'Matched Programs'!C49&lt;&gt;""),'Matched Programs'!C49,"")</f>
        <v/>
      </c>
      <c r="D61" s="38">
        <f>'Matched Programs'!X49</f>
        <v/>
      </c>
      <c r="E61" s="38">
        <f>'Matched Programs'!Y49</f>
        <v/>
      </c>
      <c r="F61" s="38">
        <f>'Matched Programs'!Z49</f>
        <v/>
      </c>
      <c r="G61" s="38">
        <f>'Matched Programs'!AD49</f>
        <v/>
      </c>
      <c r="H61" s="39">
        <f>HYPERLINK("#'Matched Programs'!B49","Go")</f>
        <v/>
      </c>
    </row>
    <row r="62" ht="15" customHeight="1">
      <c r="A62" s="38">
        <f>IF('Matched Programs'!B51&lt;&gt;"",'Matched Programs'!B51,'Matched Programs'!C51)</f>
        <v/>
      </c>
      <c r="B62" s="38">
        <f>IF('Matched Programs'!J51="","",'Matched Programs'!J51)</f>
        <v/>
      </c>
      <c r="C62" s="38">
        <f>IF(AND('Matched Programs'!B51&lt;&gt;"",'Matched Programs'!C51&lt;&gt;""),'Matched Programs'!C51,"")</f>
        <v/>
      </c>
      <c r="D62" s="38">
        <f>'Matched Programs'!X51</f>
        <v/>
      </c>
      <c r="E62" s="38">
        <f>'Matched Programs'!Y51</f>
        <v/>
      </c>
      <c r="F62" s="38">
        <f>'Matched Programs'!Z51</f>
        <v/>
      </c>
      <c r="G62" s="38">
        <f>'Matched Programs'!AD51</f>
        <v/>
      </c>
      <c r="H62" s="39">
        <f>HYPERLINK("#'Matched Programs'!B51","Go")</f>
        <v/>
      </c>
    </row>
    <row r="63" ht="15" customHeight="1">
      <c r="A63" s="38">
        <f>IF('Matched Programs'!B53&lt;&gt;"",'Matched Programs'!B53,'Matched Programs'!C53)</f>
        <v/>
      </c>
      <c r="B63" s="38">
        <f>IF('Matched Programs'!J53="","",'Matched Programs'!J53)</f>
        <v/>
      </c>
      <c r="C63" s="38">
        <f>IF(AND('Matched Programs'!B53&lt;&gt;"",'Matched Programs'!C53&lt;&gt;""),'Matched Programs'!C53,"")</f>
        <v/>
      </c>
      <c r="D63" s="38">
        <f>'Matched Programs'!X53</f>
        <v/>
      </c>
      <c r="E63" s="38">
        <f>'Matched Programs'!Y53</f>
        <v/>
      </c>
      <c r="F63" s="38">
        <f>'Matched Programs'!Z53</f>
        <v/>
      </c>
      <c r="G63" s="38">
        <f>'Matched Programs'!AD53</f>
        <v/>
      </c>
      <c r="H63" s="39">
        <f>HYPERLINK("#'Matched Programs'!B53","Go")</f>
        <v/>
      </c>
    </row>
    <row r="64" ht="15" customHeight="1">
      <c r="A64" s="38">
        <f>IF('Matched Programs'!B54&lt;&gt;"",'Matched Programs'!B54,'Matched Programs'!C54)</f>
        <v/>
      </c>
      <c r="B64" s="38">
        <f>IF('Matched Programs'!J54="","",'Matched Programs'!J54)</f>
        <v/>
      </c>
      <c r="C64" s="38">
        <f>IF(AND('Matched Programs'!B54&lt;&gt;"",'Matched Programs'!C54&lt;&gt;""),'Matched Programs'!C54,"")</f>
        <v/>
      </c>
      <c r="D64" s="38">
        <f>'Matched Programs'!X54</f>
        <v/>
      </c>
      <c r="E64" s="38">
        <f>'Matched Programs'!Y54</f>
        <v/>
      </c>
      <c r="F64" s="38">
        <f>'Matched Programs'!Z54</f>
        <v/>
      </c>
      <c r="G64" s="38">
        <f>'Matched Programs'!AD54</f>
        <v/>
      </c>
      <c r="H64" s="39">
        <f>HYPERLINK("#'Matched Programs'!B54","Go")</f>
        <v/>
      </c>
    </row>
    <row r="65" ht="27.75" customHeight="1">
      <c r="A65" s="38">
        <f>IF('Matched Programs'!B55&lt;&gt;"",'Matched Programs'!B55,'Matched Programs'!C55)</f>
        <v/>
      </c>
      <c r="B65" s="38">
        <f>IF('Matched Programs'!J55="","",'Matched Programs'!J55)</f>
        <v/>
      </c>
      <c r="C65" s="38">
        <f>IF(AND('Matched Programs'!B55&lt;&gt;"",'Matched Programs'!C55&lt;&gt;""),'Matched Programs'!C55,"")</f>
        <v/>
      </c>
      <c r="D65" s="38">
        <f>'Matched Programs'!X55</f>
        <v/>
      </c>
      <c r="E65" s="38">
        <f>'Matched Programs'!Y55</f>
        <v/>
      </c>
      <c r="F65" s="38">
        <f>'Matched Programs'!Z55</f>
        <v/>
      </c>
      <c r="G65" s="38">
        <f>'Matched Programs'!AD55</f>
        <v/>
      </c>
      <c r="H65" s="39">
        <f>HYPERLINK("#'Matched Programs'!B55","Go")</f>
        <v/>
      </c>
    </row>
    <row r="66" ht="27.75" customHeight="1">
      <c r="A66" s="38">
        <f>IF('Matched Programs'!B72&lt;&gt;"",'Matched Programs'!B72,'Matched Programs'!C72)</f>
        <v/>
      </c>
      <c r="B66" s="38">
        <f>IF('Matched Programs'!J72="","",'Matched Programs'!J72)</f>
        <v/>
      </c>
      <c r="C66" s="38">
        <f>IF(AND('Matched Programs'!B72&lt;&gt;"",'Matched Programs'!C72&lt;&gt;""),'Matched Programs'!C72,"")</f>
        <v/>
      </c>
      <c r="D66" s="38">
        <f>'Matched Programs'!X72</f>
        <v/>
      </c>
      <c r="E66" s="38">
        <f>'Matched Programs'!Y72</f>
        <v/>
      </c>
      <c r="F66" s="38">
        <f>'Matched Programs'!Z72</f>
        <v/>
      </c>
      <c r="G66" s="38">
        <f>'Matched Programs'!AD72</f>
        <v/>
      </c>
      <c r="H66" s="39">
        <f>HYPERLINK("#'Matched Programs'!B72","Go")</f>
        <v/>
      </c>
    </row>
    <row r="67" ht="27.75" customHeight="1">
      <c r="A67" s="38">
        <f>IF('Matched Programs'!B80&lt;&gt;"",'Matched Programs'!B80,'Matched Programs'!C80)</f>
        <v/>
      </c>
      <c r="B67" s="38">
        <f>IF('Matched Programs'!J80="","",'Matched Programs'!J80)</f>
        <v/>
      </c>
      <c r="C67" s="38">
        <f>IF(AND('Matched Programs'!B80&lt;&gt;"",'Matched Programs'!C80&lt;&gt;""),'Matched Programs'!C80,"")</f>
        <v/>
      </c>
      <c r="D67" s="38">
        <f>'Matched Programs'!X80</f>
        <v/>
      </c>
      <c r="E67" s="38">
        <f>'Matched Programs'!Y80</f>
        <v/>
      </c>
      <c r="F67" s="38">
        <f>'Matched Programs'!Z80</f>
        <v/>
      </c>
      <c r="G67" s="38">
        <f>'Matched Programs'!AD80</f>
        <v/>
      </c>
      <c r="H67" s="39">
        <f>HYPERLINK("#'Matched Programs'!B80","Go")</f>
        <v/>
      </c>
    </row>
    <row r="68" ht="27.75" customHeight="1">
      <c r="A68" s="38">
        <f>IF('Matched Programs'!B99&lt;&gt;"",'Matched Programs'!B99,'Matched Programs'!C99)</f>
        <v/>
      </c>
      <c r="B68" s="38">
        <f>IF('Matched Programs'!J99="","",'Matched Programs'!J99)</f>
        <v/>
      </c>
      <c r="C68" s="38">
        <f>IF(AND('Matched Programs'!B99&lt;&gt;"",'Matched Programs'!C99&lt;&gt;""),'Matched Programs'!C99,"")</f>
        <v/>
      </c>
      <c r="D68" s="38">
        <f>'Matched Programs'!X99</f>
        <v/>
      </c>
      <c r="E68" s="38">
        <f>'Matched Programs'!Y99</f>
        <v/>
      </c>
      <c r="F68" s="38">
        <f>'Matched Programs'!Z99</f>
        <v/>
      </c>
      <c r="G68" s="38">
        <f>'Matched Programs'!AD99</f>
        <v/>
      </c>
      <c r="H68" s="39">
        <f>HYPERLINK("#'Matched Programs'!B99","Go")</f>
        <v/>
      </c>
    </row>
    <row r="69" ht="27.75" customHeight="1">
      <c r="A69" s="38">
        <f>IF('Matched Programs'!B121&lt;&gt;"",'Matched Programs'!B121,'Matched Programs'!C121)</f>
        <v/>
      </c>
      <c r="B69" s="38">
        <f>IF('Matched Programs'!J121="","",'Matched Programs'!J121)</f>
        <v/>
      </c>
      <c r="C69" s="38">
        <f>IF(AND('Matched Programs'!B121&lt;&gt;"",'Matched Programs'!C121&lt;&gt;""),'Matched Programs'!C121,"")</f>
        <v/>
      </c>
      <c r="D69" s="38">
        <f>'Matched Programs'!X121</f>
        <v/>
      </c>
      <c r="E69" s="38">
        <f>'Matched Programs'!Y121</f>
        <v/>
      </c>
      <c r="F69" s="38">
        <f>'Matched Programs'!Z121</f>
        <v/>
      </c>
      <c r="G69" s="38">
        <f>'Matched Programs'!AD121</f>
        <v/>
      </c>
      <c r="H69" s="39">
        <f>HYPERLINK("#'Matched Programs'!B121","Go")</f>
        <v/>
      </c>
    </row>
    <row r="70" ht="27.75" customHeight="1">
      <c r="A70" s="38">
        <f>IF('Matched Programs'!B137&lt;&gt;"",'Matched Programs'!B137,'Matched Programs'!C137)</f>
        <v/>
      </c>
      <c r="B70" s="38">
        <f>IF('Matched Programs'!J137="","",'Matched Programs'!J137)</f>
        <v/>
      </c>
      <c r="C70" s="38">
        <f>IF(AND('Matched Programs'!B137&lt;&gt;"",'Matched Programs'!C137&lt;&gt;""),'Matched Programs'!C137,"")</f>
        <v/>
      </c>
      <c r="D70" s="38">
        <f>'Matched Programs'!X137</f>
        <v/>
      </c>
      <c r="E70" s="38">
        <f>'Matched Programs'!Y137</f>
        <v/>
      </c>
      <c r="F70" s="38">
        <f>'Matched Programs'!Z137</f>
        <v/>
      </c>
      <c r="G70" s="38">
        <f>'Matched Programs'!AD137</f>
        <v/>
      </c>
      <c r="H70" s="39">
        <f>HYPERLINK("#'Matched Programs'!B137","Go")</f>
        <v/>
      </c>
    </row>
    <row r="71" ht="27.75" customHeight="1">
      <c r="A71" s="38">
        <f>IF('Matched Programs'!B139&lt;&gt;"",'Matched Programs'!B139,'Matched Programs'!C139)</f>
        <v/>
      </c>
      <c r="B71" s="38">
        <f>IF('Matched Programs'!J139="","",'Matched Programs'!J139)</f>
        <v/>
      </c>
      <c r="C71" s="38">
        <f>IF(AND('Matched Programs'!B139&lt;&gt;"",'Matched Programs'!C139&lt;&gt;""),'Matched Programs'!C139,"")</f>
        <v/>
      </c>
      <c r="D71" s="38">
        <f>'Matched Programs'!X139</f>
        <v/>
      </c>
      <c r="E71" s="38">
        <f>'Matched Programs'!Y139</f>
        <v/>
      </c>
      <c r="F71" s="38">
        <f>'Matched Programs'!Z139</f>
        <v/>
      </c>
      <c r="G71" s="38">
        <f>'Matched Programs'!AD139</f>
        <v/>
      </c>
      <c r="H71" s="39">
        <f>HYPERLINK("#'Matched Programs'!B139","Go")</f>
        <v/>
      </c>
    </row>
    <row r="72" ht="15" customHeight="1">
      <c r="A72" s="34" t="inlineStr">
        <is>
          <t>Sec. 202 / Sec. 811 (elderly &amp; disabled housing)</t>
        </is>
      </c>
      <c r="B72" s="35" t="n"/>
      <c r="C72" s="35" t="n"/>
      <c r="D72" s="35" t="n"/>
      <c r="E72" s="35" t="n"/>
      <c r="F72" s="35" t="n"/>
      <c r="G72" s="35" t="n"/>
      <c r="H72" s="35" t="n"/>
    </row>
    <row r="73" ht="15" customHeight="1">
      <c r="A73" s="36" t="inlineStr">
        <is>
          <t xml:space="preserve">   Eligibility: Counted</t>
        </is>
      </c>
      <c r="B73" s="37" t="n"/>
      <c r="C73" s="37" t="n"/>
      <c r="D73" s="37" t="n"/>
      <c r="E73" s="37" t="n"/>
      <c r="F73" s="37" t="n"/>
      <c r="G73" s="37" t="n"/>
      <c r="H73" s="37" t="n"/>
    </row>
    <row r="74" ht="15" customHeight="1">
      <c r="A74" s="38">
        <f>IF('Matched Programs'!B38&lt;&gt;"",'Matched Programs'!B38,'Matched Programs'!C38)</f>
        <v/>
      </c>
      <c r="B74" s="38">
        <f>IF('Matched Programs'!J38="","",'Matched Programs'!J38)</f>
        <v/>
      </c>
      <c r="C74" s="38">
        <f>IF(AND('Matched Programs'!B38&lt;&gt;"",'Matched Programs'!C38&lt;&gt;""),'Matched Programs'!C38,"")</f>
        <v/>
      </c>
      <c r="D74" s="38">
        <f>'Matched Programs'!X38</f>
        <v/>
      </c>
      <c r="E74" s="38">
        <f>'Matched Programs'!Y38</f>
        <v/>
      </c>
      <c r="F74" s="38">
        <f>'Matched Programs'!Z38</f>
        <v/>
      </c>
      <c r="G74" s="38">
        <f>'Matched Programs'!AD38</f>
        <v/>
      </c>
      <c r="H74" s="39">
        <f>HYPERLINK("#'Matched Programs'!B38","Go")</f>
        <v/>
      </c>
    </row>
    <row r="75" ht="41.25" customHeight="1">
      <c r="A75" s="38">
        <f>IF('Matched Programs'!B39&lt;&gt;"",'Matched Programs'!B39,'Matched Programs'!C39)</f>
        <v/>
      </c>
      <c r="B75" s="38">
        <f>IF('Matched Programs'!J39="","",'Matched Programs'!J39)</f>
        <v/>
      </c>
      <c r="C75" s="38">
        <f>IF(AND('Matched Programs'!B39&lt;&gt;"",'Matched Programs'!C39&lt;&gt;""),'Matched Programs'!C39,"")</f>
        <v/>
      </c>
      <c r="D75" s="38">
        <f>'Matched Programs'!X39</f>
        <v/>
      </c>
      <c r="E75" s="38">
        <f>'Matched Programs'!Y39</f>
        <v/>
      </c>
      <c r="F75" s="38">
        <f>'Matched Programs'!Z39</f>
        <v/>
      </c>
      <c r="G75" s="38">
        <f>'Matched Programs'!AD39</f>
        <v/>
      </c>
      <c r="H75" s="39">
        <f>HYPERLINK("#'Matched Programs'!B39","Go")</f>
        <v/>
      </c>
    </row>
    <row r="76" ht="41.25" customHeight="1">
      <c r="A76" s="38">
        <f>IF('Matched Programs'!B40&lt;&gt;"",'Matched Programs'!B40,'Matched Programs'!C40)</f>
        <v/>
      </c>
      <c r="B76" s="38">
        <f>IF('Matched Programs'!J40="","",'Matched Programs'!J40)</f>
        <v/>
      </c>
      <c r="C76" s="38">
        <f>IF(AND('Matched Programs'!B40&lt;&gt;"",'Matched Programs'!C40&lt;&gt;""),'Matched Programs'!C40,"")</f>
        <v/>
      </c>
      <c r="D76" s="38">
        <f>'Matched Programs'!X40</f>
        <v/>
      </c>
      <c r="E76" s="38">
        <f>'Matched Programs'!Y40</f>
        <v/>
      </c>
      <c r="F76" s="38">
        <f>'Matched Programs'!Z40</f>
        <v/>
      </c>
      <c r="G76" s="38">
        <f>'Matched Programs'!AD40</f>
        <v/>
      </c>
      <c r="H76" s="39">
        <f>HYPERLINK("#'Matched Programs'!B40","Go")</f>
        <v/>
      </c>
    </row>
    <row r="77" ht="15" customHeight="1">
      <c r="A77" s="38">
        <f>IF('Matched Programs'!B127&lt;&gt;"",'Matched Programs'!B127,'Matched Programs'!C127)</f>
        <v/>
      </c>
      <c r="B77" s="38">
        <f>IF('Matched Programs'!J127="","",'Matched Programs'!J127)</f>
        <v/>
      </c>
      <c r="C77" s="38">
        <f>IF(AND('Matched Programs'!B127&lt;&gt;"",'Matched Programs'!C127&lt;&gt;""),'Matched Programs'!C127,"")</f>
        <v/>
      </c>
      <c r="D77" s="38">
        <f>'Matched Programs'!X127</f>
        <v/>
      </c>
      <c r="E77" s="38">
        <f>'Matched Programs'!Y127</f>
        <v/>
      </c>
      <c r="F77" s="38">
        <f>'Matched Programs'!Z127</f>
        <v/>
      </c>
      <c r="G77" s="38">
        <f>'Matched Programs'!AD127</f>
        <v/>
      </c>
      <c r="H77" s="39">
        <f>HYPERLINK("#'Matched Programs'!B127","Go")</f>
        <v/>
      </c>
    </row>
    <row r="78" ht="15" customHeight="1">
      <c r="A78" s="36" t="inlineStr">
        <is>
          <t xml:space="preserve">   Eligibility: Not applicable</t>
        </is>
      </c>
      <c r="B78" s="37" t="n"/>
      <c r="C78" s="37" t="n"/>
      <c r="D78" s="37" t="n"/>
      <c r="E78" s="37" t="n"/>
      <c r="F78" s="37" t="n"/>
      <c r="G78" s="37" t="n"/>
      <c r="H78" s="37" t="n"/>
    </row>
    <row r="79" ht="27.75" customHeight="1">
      <c r="A79" s="38">
        <f>IF('Matched Programs'!B34&lt;&gt;"",'Matched Programs'!B34,'Matched Programs'!C34)</f>
        <v/>
      </c>
      <c r="B79" s="38">
        <f>IF('Matched Programs'!J34="","",'Matched Programs'!J34)</f>
        <v/>
      </c>
      <c r="C79" s="38">
        <f>IF(AND('Matched Programs'!B34&lt;&gt;"",'Matched Programs'!C34&lt;&gt;""),'Matched Programs'!C34,"")</f>
        <v/>
      </c>
      <c r="D79" s="38">
        <f>'Matched Programs'!X34</f>
        <v/>
      </c>
      <c r="E79" s="38">
        <f>'Matched Programs'!Y34</f>
        <v/>
      </c>
      <c r="F79" s="38">
        <f>'Matched Programs'!Z34</f>
        <v/>
      </c>
      <c r="G79" s="38">
        <f>'Matched Programs'!AD34</f>
        <v/>
      </c>
      <c r="H79" s="39">
        <f>HYPERLINK("#'Matched Programs'!B34","Go")</f>
        <v/>
      </c>
    </row>
    <row r="80" ht="27.75" customHeight="1">
      <c r="A80" s="38">
        <f>IF('Matched Programs'!B126&lt;&gt;"",'Matched Programs'!B126,'Matched Programs'!C126)</f>
        <v/>
      </c>
      <c r="B80" s="38">
        <f>IF('Matched Programs'!J126="","",'Matched Programs'!J126)</f>
        <v/>
      </c>
      <c r="C80" s="38">
        <f>IF(AND('Matched Programs'!B126&lt;&gt;"",'Matched Programs'!C126&lt;&gt;""),'Matched Programs'!C126,"")</f>
        <v/>
      </c>
      <c r="D80" s="38">
        <f>'Matched Programs'!X126</f>
        <v/>
      </c>
      <c r="E80" s="38">
        <f>'Matched Programs'!Y126</f>
        <v/>
      </c>
      <c r="F80" s="38">
        <f>'Matched Programs'!Z126</f>
        <v/>
      </c>
      <c r="G80" s="38">
        <f>'Matched Programs'!AD126</f>
        <v/>
      </c>
      <c r="H80" s="39">
        <f>HYPERLINK("#'Matched Programs'!B126","Go")</f>
        <v/>
      </c>
    </row>
    <row r="81" ht="27.75" customHeight="1">
      <c r="A81" s="38">
        <f>IF('Matched Programs'!B128&lt;&gt;"",'Matched Programs'!B128,'Matched Programs'!C128)</f>
        <v/>
      </c>
      <c r="B81" s="38">
        <f>IF('Matched Programs'!J128="","",'Matched Programs'!J128)</f>
        <v/>
      </c>
      <c r="C81" s="38">
        <f>IF(AND('Matched Programs'!B128&lt;&gt;"",'Matched Programs'!C128&lt;&gt;""),'Matched Programs'!C128,"")</f>
        <v/>
      </c>
      <c r="D81" s="38">
        <f>'Matched Programs'!X128</f>
        <v/>
      </c>
      <c r="E81" s="38">
        <f>'Matched Programs'!Y128</f>
        <v/>
      </c>
      <c r="F81" s="38">
        <f>'Matched Programs'!Z128</f>
        <v/>
      </c>
      <c r="G81" s="38">
        <f>'Matched Programs'!AD128</f>
        <v/>
      </c>
      <c r="H81" s="39">
        <f>HYPERLINK("#'Matched Programs'!B128","Go")</f>
        <v/>
      </c>
    </row>
    <row r="82" ht="15" customHeight="1">
      <c r="A82" s="34" t="inlineStr">
        <is>
          <t>HCDA Title I (CDBG family)</t>
        </is>
      </c>
      <c r="B82" s="35" t="n"/>
      <c r="C82" s="35" t="n"/>
      <c r="D82" s="35" t="n"/>
      <c r="E82" s="35" t="n"/>
      <c r="F82" s="35" t="n"/>
      <c r="G82" s="35" t="n"/>
      <c r="H82" s="35" t="n"/>
    </row>
    <row r="83" ht="15" customHeight="1">
      <c r="A83" s="36" t="inlineStr">
        <is>
          <t xml:space="preserve">   Eligibility: Excluded</t>
        </is>
      </c>
      <c r="B83" s="37" t="n"/>
      <c r="C83" s="37" t="n"/>
      <c r="D83" s="37" t="n"/>
      <c r="E83" s="37" t="n"/>
      <c r="F83" s="37" t="n"/>
      <c r="G83" s="37" t="n"/>
      <c r="H83" s="37" t="n"/>
    </row>
    <row r="84" ht="41.25" customHeight="1">
      <c r="A84" s="38">
        <f>IF('Matched Programs'!B4&lt;&gt;"",'Matched Programs'!B4,'Matched Programs'!C4)</f>
        <v/>
      </c>
      <c r="B84" s="38">
        <f>IF('Matched Programs'!J4="","",'Matched Programs'!J4)</f>
        <v/>
      </c>
      <c r="C84" s="38">
        <f>IF(AND('Matched Programs'!B4&lt;&gt;"",'Matched Programs'!C4&lt;&gt;""),'Matched Programs'!C4,"")</f>
        <v/>
      </c>
      <c r="D84" s="38">
        <f>'Matched Programs'!X4</f>
        <v/>
      </c>
      <c r="E84" s="38">
        <f>'Matched Programs'!Y4</f>
        <v/>
      </c>
      <c r="F84" s="38">
        <f>'Matched Programs'!Z4</f>
        <v/>
      </c>
      <c r="G84" s="38">
        <f>'Matched Programs'!AD4</f>
        <v/>
      </c>
      <c r="H84" s="39">
        <f>HYPERLINK("#'Matched Programs'!B4","Go")</f>
        <v/>
      </c>
    </row>
    <row r="85" ht="27.75" customHeight="1">
      <c r="A85" s="38">
        <f>IF('Matched Programs'!B5&lt;&gt;"",'Matched Programs'!B5,'Matched Programs'!C5)</f>
        <v/>
      </c>
      <c r="B85" s="38">
        <f>IF('Matched Programs'!J5="","",'Matched Programs'!J5)</f>
        <v/>
      </c>
      <c r="C85" s="38">
        <f>IF(AND('Matched Programs'!B5&lt;&gt;"",'Matched Programs'!C5&lt;&gt;""),'Matched Programs'!C5,"")</f>
        <v/>
      </c>
      <c r="D85" s="38">
        <f>'Matched Programs'!X5</f>
        <v/>
      </c>
      <c r="E85" s="38">
        <f>'Matched Programs'!Y5</f>
        <v/>
      </c>
      <c r="F85" s="38">
        <f>'Matched Programs'!Z5</f>
        <v/>
      </c>
      <c r="G85" s="38">
        <f>'Matched Programs'!AD5</f>
        <v/>
      </c>
      <c r="H85" s="39">
        <f>HYPERLINK("#'Matched Programs'!B5","Go")</f>
        <v/>
      </c>
    </row>
    <row r="86" ht="27.75" customHeight="1">
      <c r="A86" s="38">
        <f>IF('Matched Programs'!B6&lt;&gt;"",'Matched Programs'!B6,'Matched Programs'!C6)</f>
        <v/>
      </c>
      <c r="B86" s="38">
        <f>IF('Matched Programs'!J6="","",'Matched Programs'!J6)</f>
        <v/>
      </c>
      <c r="C86" s="38">
        <f>IF(AND('Matched Programs'!B6&lt;&gt;"",'Matched Programs'!C6&lt;&gt;""),'Matched Programs'!C6,"")</f>
        <v/>
      </c>
      <c r="D86" s="38">
        <f>'Matched Programs'!X6</f>
        <v/>
      </c>
      <c r="E86" s="38">
        <f>'Matched Programs'!Y6</f>
        <v/>
      </c>
      <c r="F86" s="38">
        <f>'Matched Programs'!Z6</f>
        <v/>
      </c>
      <c r="G86" s="38">
        <f>'Matched Programs'!AD6</f>
        <v/>
      </c>
      <c r="H86" s="39">
        <f>HYPERLINK("#'Matched Programs'!B6","Go")</f>
        <v/>
      </c>
    </row>
    <row r="87" ht="27.75" customHeight="1">
      <c r="A87" s="38">
        <f>IF('Matched Programs'!B7&lt;&gt;"",'Matched Programs'!B7,'Matched Programs'!C7)</f>
        <v/>
      </c>
      <c r="B87" s="38">
        <f>IF('Matched Programs'!J7="","",'Matched Programs'!J7)</f>
        <v/>
      </c>
      <c r="C87" s="38">
        <f>IF(AND('Matched Programs'!B7&lt;&gt;"",'Matched Programs'!C7&lt;&gt;""),'Matched Programs'!C7,"")</f>
        <v/>
      </c>
      <c r="D87" s="38">
        <f>'Matched Programs'!X7</f>
        <v/>
      </c>
      <c r="E87" s="38">
        <f>'Matched Programs'!Y7</f>
        <v/>
      </c>
      <c r="F87" s="38">
        <f>'Matched Programs'!Z7</f>
        <v/>
      </c>
      <c r="G87" s="38">
        <f>'Matched Programs'!AD7</f>
        <v/>
      </c>
      <c r="H87" s="39">
        <f>HYPERLINK("#'Matched Programs'!B7","Go")</f>
        <v/>
      </c>
    </row>
    <row r="88" ht="41.25" customHeight="1">
      <c r="A88" s="38">
        <f>IF('Matched Programs'!B8&lt;&gt;"",'Matched Programs'!B8,'Matched Programs'!C8)</f>
        <v/>
      </c>
      <c r="B88" s="38">
        <f>IF('Matched Programs'!J8="","",'Matched Programs'!J8)</f>
        <v/>
      </c>
      <c r="C88" s="38">
        <f>IF(AND('Matched Programs'!B8&lt;&gt;"",'Matched Programs'!C8&lt;&gt;""),'Matched Programs'!C8,"")</f>
        <v/>
      </c>
      <c r="D88" s="38">
        <f>'Matched Programs'!X8</f>
        <v/>
      </c>
      <c r="E88" s="38">
        <f>'Matched Programs'!Y8</f>
        <v/>
      </c>
      <c r="F88" s="38">
        <f>'Matched Programs'!Z8</f>
        <v/>
      </c>
      <c r="G88" s="38">
        <f>'Matched Programs'!AD8</f>
        <v/>
      </c>
      <c r="H88" s="39">
        <f>HYPERLINK("#'Matched Programs'!B8","Go")</f>
        <v/>
      </c>
    </row>
    <row r="89" ht="27.75" customHeight="1">
      <c r="A89" s="38">
        <f>IF('Matched Programs'!B9&lt;&gt;"",'Matched Programs'!B9,'Matched Programs'!C9)</f>
        <v/>
      </c>
      <c r="B89" s="38">
        <f>IF('Matched Programs'!J9="","",'Matched Programs'!J9)</f>
        <v/>
      </c>
      <c r="C89" s="38">
        <f>IF(AND('Matched Programs'!B9&lt;&gt;"",'Matched Programs'!C9&lt;&gt;""),'Matched Programs'!C9,"")</f>
        <v/>
      </c>
      <c r="D89" s="38">
        <f>'Matched Programs'!X9</f>
        <v/>
      </c>
      <c r="E89" s="38">
        <f>'Matched Programs'!Y9</f>
        <v/>
      </c>
      <c r="F89" s="38">
        <f>'Matched Programs'!Z9</f>
        <v/>
      </c>
      <c r="G89" s="38">
        <f>'Matched Programs'!AD9</f>
        <v/>
      </c>
      <c r="H89" s="39">
        <f>HYPERLINK("#'Matched Programs'!B9","Go")</f>
        <v/>
      </c>
    </row>
    <row r="90" ht="27.75" customHeight="1">
      <c r="A90" s="38">
        <f>IF('Matched Programs'!B56&lt;&gt;"",'Matched Programs'!B56,'Matched Programs'!C56)</f>
        <v/>
      </c>
      <c r="B90" s="38">
        <f>IF('Matched Programs'!J56="","",'Matched Programs'!J56)</f>
        <v/>
      </c>
      <c r="C90" s="38">
        <f>IF(AND('Matched Programs'!B56&lt;&gt;"",'Matched Programs'!C56&lt;&gt;""),'Matched Programs'!C56,"")</f>
        <v/>
      </c>
      <c r="D90" s="38">
        <f>'Matched Programs'!X56</f>
        <v/>
      </c>
      <c r="E90" s="38">
        <f>'Matched Programs'!Y56</f>
        <v/>
      </c>
      <c r="F90" s="38">
        <f>'Matched Programs'!Z56</f>
        <v/>
      </c>
      <c r="G90" s="38">
        <f>'Matched Programs'!AD56</f>
        <v/>
      </c>
      <c r="H90" s="39">
        <f>HYPERLINK("#'Matched Programs'!B56","Go")</f>
        <v/>
      </c>
    </row>
    <row r="91" ht="27.75" customHeight="1">
      <c r="A91" s="38">
        <f>IF('Matched Programs'!B86&lt;&gt;"",'Matched Programs'!B86,'Matched Programs'!C86)</f>
        <v/>
      </c>
      <c r="B91" s="38">
        <f>IF('Matched Programs'!J86="","",'Matched Programs'!J86)</f>
        <v/>
      </c>
      <c r="C91" s="38">
        <f>IF(AND('Matched Programs'!B86&lt;&gt;"",'Matched Programs'!C86&lt;&gt;""),'Matched Programs'!C86,"")</f>
        <v/>
      </c>
      <c r="D91" s="38">
        <f>'Matched Programs'!X86</f>
        <v/>
      </c>
      <c r="E91" s="38">
        <f>'Matched Programs'!Y86</f>
        <v/>
      </c>
      <c r="F91" s="38">
        <f>'Matched Programs'!Z86</f>
        <v/>
      </c>
      <c r="G91" s="38">
        <f>'Matched Programs'!AD86</f>
        <v/>
      </c>
      <c r="H91" s="39">
        <f>HYPERLINK("#'Matched Programs'!B86","Go")</f>
        <v/>
      </c>
    </row>
    <row r="92" ht="27.75" customHeight="1">
      <c r="A92" s="38">
        <f>IF('Matched Programs'!B87&lt;&gt;"",'Matched Programs'!B87,'Matched Programs'!C87)</f>
        <v/>
      </c>
      <c r="B92" s="38">
        <f>IF('Matched Programs'!J87="","",'Matched Programs'!J87)</f>
        <v/>
      </c>
      <c r="C92" s="38">
        <f>IF(AND('Matched Programs'!B87&lt;&gt;"",'Matched Programs'!C87&lt;&gt;""),'Matched Programs'!C87,"")</f>
        <v/>
      </c>
      <c r="D92" s="38">
        <f>'Matched Programs'!X87</f>
        <v/>
      </c>
      <c r="E92" s="38">
        <f>'Matched Programs'!Y87</f>
        <v/>
      </c>
      <c r="F92" s="38">
        <f>'Matched Programs'!Z87</f>
        <v/>
      </c>
      <c r="G92" s="38">
        <f>'Matched Programs'!AD87</f>
        <v/>
      </c>
      <c r="H92" s="39">
        <f>HYPERLINK("#'Matched Programs'!B87","Go")</f>
        <v/>
      </c>
    </row>
    <row r="93" ht="15" customHeight="1">
      <c r="A93" s="38">
        <f>IF('Matched Programs'!B115&lt;&gt;"",'Matched Programs'!B115,'Matched Programs'!C115)</f>
        <v/>
      </c>
      <c r="B93" s="38">
        <f>IF('Matched Programs'!J115="","",'Matched Programs'!J115)</f>
        <v/>
      </c>
      <c r="C93" s="38">
        <f>IF(AND('Matched Programs'!B115&lt;&gt;"",'Matched Programs'!C115&lt;&gt;""),'Matched Programs'!C115,"")</f>
        <v/>
      </c>
      <c r="D93" s="38">
        <f>'Matched Programs'!X115</f>
        <v/>
      </c>
      <c r="E93" s="38">
        <f>'Matched Programs'!Y115</f>
        <v/>
      </c>
      <c r="F93" s="38">
        <f>'Matched Programs'!Z115</f>
        <v/>
      </c>
      <c r="G93" s="38">
        <f>'Matched Programs'!AD115</f>
        <v/>
      </c>
      <c r="H93" s="39">
        <f>HYPERLINK("#'Matched Programs'!B115","Go")</f>
        <v/>
      </c>
    </row>
    <row r="94" ht="15" customHeight="1">
      <c r="A94" s="38">
        <f>IF('Matched Programs'!B120&lt;&gt;"",'Matched Programs'!B120,'Matched Programs'!C120)</f>
        <v/>
      </c>
      <c r="B94" s="38">
        <f>IF('Matched Programs'!J120="","",'Matched Programs'!J120)</f>
        <v/>
      </c>
      <c r="C94" s="38">
        <f>IF(AND('Matched Programs'!B120&lt;&gt;"",'Matched Programs'!C120&lt;&gt;""),'Matched Programs'!C120,"")</f>
        <v/>
      </c>
      <c r="D94" s="38">
        <f>'Matched Programs'!X120</f>
        <v/>
      </c>
      <c r="E94" s="38">
        <f>'Matched Programs'!Y120</f>
        <v/>
      </c>
      <c r="F94" s="38">
        <f>'Matched Programs'!Z120</f>
        <v/>
      </c>
      <c r="G94" s="38">
        <f>'Matched Programs'!AD120</f>
        <v/>
      </c>
      <c r="H94" s="39">
        <f>HYPERLINK("#'Matched Programs'!B120","Go")</f>
        <v/>
      </c>
    </row>
    <row r="95" ht="15" customHeight="1">
      <c r="A95" s="36" t="inlineStr">
        <is>
          <t xml:space="preserve">   Eligibility: Unclear / needs check</t>
        </is>
      </c>
      <c r="B95" s="37" t="n"/>
      <c r="C95" s="37" t="n"/>
      <c r="D95" s="37" t="n"/>
      <c r="E95" s="37" t="n"/>
      <c r="F95" s="37" t="n"/>
      <c r="G95" s="37" t="n"/>
      <c r="H95" s="37" t="n"/>
    </row>
    <row r="96" ht="15" customHeight="1">
      <c r="A96" s="38">
        <f>IF('Matched Programs'!B133&lt;&gt;"",'Matched Programs'!B133,'Matched Programs'!C133)</f>
        <v/>
      </c>
      <c r="B96" s="38">
        <f>IF('Matched Programs'!J133="","",'Matched Programs'!J133)</f>
        <v/>
      </c>
      <c r="C96" s="38">
        <f>IF(AND('Matched Programs'!B133&lt;&gt;"",'Matched Programs'!C133&lt;&gt;""),'Matched Programs'!C133,"")</f>
        <v/>
      </c>
      <c r="D96" s="38">
        <f>'Matched Programs'!X133</f>
        <v/>
      </c>
      <c r="E96" s="38">
        <f>'Matched Programs'!Y133</f>
        <v/>
      </c>
      <c r="F96" s="38">
        <f>'Matched Programs'!Z133</f>
        <v/>
      </c>
      <c r="G96" s="38">
        <f>'Matched Programs'!AD133</f>
        <v/>
      </c>
      <c r="H96" s="39">
        <f>HYPERLINK("#'Matched Programs'!B133","Go")</f>
        <v/>
      </c>
    </row>
    <row r="97" ht="15" customHeight="1">
      <c r="A97" s="34" t="inlineStr">
        <is>
          <t>HOME / Housing Trust Fund</t>
        </is>
      </c>
      <c r="B97" s="35" t="n"/>
      <c r="C97" s="35" t="n"/>
      <c r="D97" s="35" t="n"/>
      <c r="E97" s="35" t="n"/>
      <c r="F97" s="35" t="n"/>
      <c r="G97" s="35" t="n"/>
      <c r="H97" s="35" t="n"/>
    </row>
    <row r="98" ht="15" customHeight="1">
      <c r="A98" s="36" t="inlineStr">
        <is>
          <t xml:space="preserve">   Eligibility: Varies (grantee/agency choice)</t>
        </is>
      </c>
      <c r="B98" s="37" t="n"/>
      <c r="C98" s="37" t="n"/>
      <c r="D98" s="37" t="n"/>
      <c r="E98" s="37" t="n"/>
      <c r="F98" s="37" t="n"/>
      <c r="G98" s="37" t="n"/>
      <c r="H98" s="37" t="n"/>
    </row>
    <row r="99" ht="27.75" customHeight="1">
      <c r="A99" s="38">
        <f>IF('Matched Programs'!B12&lt;&gt;"",'Matched Programs'!B12,'Matched Programs'!C12)</f>
        <v/>
      </c>
      <c r="B99" s="38">
        <f>IF('Matched Programs'!J12="","",'Matched Programs'!J12)</f>
        <v/>
      </c>
      <c r="C99" s="38">
        <f>IF(AND('Matched Programs'!B12&lt;&gt;"",'Matched Programs'!C12&lt;&gt;""),'Matched Programs'!C12,"")</f>
        <v/>
      </c>
      <c r="D99" s="38">
        <f>'Matched Programs'!X12</f>
        <v/>
      </c>
      <c r="E99" s="38">
        <f>'Matched Programs'!Y12</f>
        <v/>
      </c>
      <c r="F99" s="38">
        <f>'Matched Programs'!Z12</f>
        <v/>
      </c>
      <c r="G99" s="38">
        <f>'Matched Programs'!AD12</f>
        <v/>
      </c>
      <c r="H99" s="39">
        <f>HYPERLINK("#'Matched Programs'!B12","Go")</f>
        <v/>
      </c>
    </row>
    <row r="100" ht="27.75" customHeight="1">
      <c r="A100" s="38">
        <f>IF('Matched Programs'!B14&lt;&gt;"",'Matched Programs'!B14,'Matched Programs'!C14)</f>
        <v/>
      </c>
      <c r="B100" s="38">
        <f>IF('Matched Programs'!J14="","",'Matched Programs'!J14)</f>
        <v/>
      </c>
      <c r="C100" s="38">
        <f>IF(AND('Matched Programs'!B14&lt;&gt;"",'Matched Programs'!C14&lt;&gt;""),'Matched Programs'!C14,"")</f>
        <v/>
      </c>
      <c r="D100" s="38">
        <f>'Matched Programs'!X14</f>
        <v/>
      </c>
      <c r="E100" s="38">
        <f>'Matched Programs'!Y14</f>
        <v/>
      </c>
      <c r="F100" s="38">
        <f>'Matched Programs'!Z14</f>
        <v/>
      </c>
      <c r="G100" s="38">
        <f>'Matched Programs'!AD14</f>
        <v/>
      </c>
      <c r="H100" s="39">
        <f>HYPERLINK("#'Matched Programs'!B14","Go")</f>
        <v/>
      </c>
    </row>
    <row r="101" ht="15" customHeight="1">
      <c r="A101" s="34" t="inlineStr">
        <is>
          <t>McKinney-Vento / AIDS Housing Opportunity Act</t>
        </is>
      </c>
      <c r="B101" s="35" t="n"/>
      <c r="C101" s="35" t="n"/>
      <c r="D101" s="35" t="n"/>
      <c r="E101" s="35" t="n"/>
      <c r="F101" s="35" t="n"/>
      <c r="G101" s="35" t="n"/>
      <c r="H101" s="35" t="n"/>
    </row>
    <row r="102" ht="15" customHeight="1">
      <c r="A102" s="36" t="inlineStr">
        <is>
          <t xml:space="preserve">   Eligibility: Counted</t>
        </is>
      </c>
      <c r="B102" s="37" t="n"/>
      <c r="C102" s="37" t="n"/>
      <c r="D102" s="37" t="n"/>
      <c r="E102" s="37" t="n"/>
      <c r="F102" s="37" t="n"/>
      <c r="G102" s="37" t="n"/>
      <c r="H102" s="37" t="n"/>
    </row>
    <row r="103" ht="15" customHeight="1">
      <c r="A103" s="38">
        <f>IF('Matched Programs'!B11&lt;&gt;"",'Matched Programs'!B11,'Matched Programs'!C11)</f>
        <v/>
      </c>
      <c r="B103" s="38">
        <f>IF('Matched Programs'!J11="","",'Matched Programs'!J11)</f>
        <v/>
      </c>
      <c r="C103" s="38">
        <f>IF(AND('Matched Programs'!B11&lt;&gt;"",'Matched Programs'!C11&lt;&gt;""),'Matched Programs'!C11,"")</f>
        <v/>
      </c>
      <c r="D103" s="38">
        <f>'Matched Programs'!X11</f>
        <v/>
      </c>
      <c r="E103" s="38">
        <f>'Matched Programs'!Y11</f>
        <v/>
      </c>
      <c r="F103" s="38">
        <f>'Matched Programs'!Z11</f>
        <v/>
      </c>
      <c r="G103" s="38">
        <f>'Matched Programs'!AD11</f>
        <v/>
      </c>
      <c r="H103" s="39">
        <f>HYPERLINK("#'Matched Programs'!B11","Go")</f>
        <v/>
      </c>
    </row>
    <row r="104" ht="15" customHeight="1">
      <c r="A104" s="38">
        <f>IF('Matched Programs'!B13&lt;&gt;"",'Matched Programs'!B13,'Matched Programs'!C13)</f>
        <v/>
      </c>
      <c r="B104" s="38">
        <f>IF('Matched Programs'!J13="","",'Matched Programs'!J13)</f>
        <v/>
      </c>
      <c r="C104" s="38">
        <f>IF(AND('Matched Programs'!B13&lt;&gt;"",'Matched Programs'!C13&lt;&gt;""),'Matched Programs'!C13,"")</f>
        <v/>
      </c>
      <c r="D104" s="38">
        <f>'Matched Programs'!X13</f>
        <v/>
      </c>
      <c r="E104" s="38">
        <f>'Matched Programs'!Y13</f>
        <v/>
      </c>
      <c r="F104" s="38">
        <f>'Matched Programs'!Z13</f>
        <v/>
      </c>
      <c r="G104" s="38">
        <f>'Matched Programs'!AD13</f>
        <v/>
      </c>
      <c r="H104" s="39">
        <f>HYPERLINK("#'Matched Programs'!B13","Go")</f>
        <v/>
      </c>
    </row>
    <row r="105" ht="15" customHeight="1">
      <c r="A105" s="36" t="inlineStr">
        <is>
          <t xml:space="preserve">   Eligibility: Unclear / needs check</t>
        </is>
      </c>
      <c r="B105" s="37" t="n"/>
      <c r="C105" s="37" t="n"/>
      <c r="D105" s="37" t="n"/>
      <c r="E105" s="37" t="n"/>
      <c r="F105" s="37" t="n"/>
      <c r="G105" s="37" t="n"/>
      <c r="H105" s="37" t="n"/>
    </row>
    <row r="106" ht="15" customHeight="1">
      <c r="A106" s="38">
        <f>IF('Matched Programs'!B122&lt;&gt;"",'Matched Programs'!B122,'Matched Programs'!C122)</f>
        <v/>
      </c>
      <c r="B106" s="38">
        <f>IF('Matched Programs'!J122="","",'Matched Programs'!J122)</f>
        <v/>
      </c>
      <c r="C106" s="38">
        <f>IF(AND('Matched Programs'!B122&lt;&gt;"",'Matched Programs'!C122&lt;&gt;""),'Matched Programs'!C122,"")</f>
        <v/>
      </c>
      <c r="D106" s="38">
        <f>'Matched Programs'!X122</f>
        <v/>
      </c>
      <c r="E106" s="38">
        <f>'Matched Programs'!Y122</f>
        <v/>
      </c>
      <c r="F106" s="38">
        <f>'Matched Programs'!Z122</f>
        <v/>
      </c>
      <c r="G106" s="38">
        <f>'Matched Programs'!AD122</f>
        <v/>
      </c>
      <c r="H106" s="39">
        <f>HYPERLINK("#'Matched Programs'!B122","Go")</f>
        <v/>
      </c>
    </row>
    <row r="107" ht="15" customHeight="1">
      <c r="A107" s="36" t="inlineStr">
        <is>
          <t xml:space="preserve">   Eligibility: Not applicable</t>
        </is>
      </c>
      <c r="B107" s="37" t="n"/>
      <c r="C107" s="37" t="n"/>
      <c r="D107" s="37" t="n"/>
      <c r="E107" s="37" t="n"/>
      <c r="F107" s="37" t="n"/>
      <c r="G107" s="37" t="n"/>
      <c r="H107" s="37" t="n"/>
    </row>
    <row r="108" ht="15" customHeight="1">
      <c r="A108" s="38">
        <f>IF('Matched Programs'!B10&lt;&gt;"",'Matched Programs'!B10,'Matched Programs'!C10)</f>
        <v/>
      </c>
      <c r="B108" s="38">
        <f>IF('Matched Programs'!J10="","",'Matched Programs'!J10)</f>
        <v/>
      </c>
      <c r="C108" s="38">
        <f>IF(AND('Matched Programs'!B10&lt;&gt;"",'Matched Programs'!C10&lt;&gt;""),'Matched Programs'!C10,"")</f>
        <v/>
      </c>
      <c r="D108" s="38">
        <f>'Matched Programs'!X10</f>
        <v/>
      </c>
      <c r="E108" s="38">
        <f>'Matched Programs'!Y10</f>
        <v/>
      </c>
      <c r="F108" s="38">
        <f>'Matched Programs'!Z10</f>
        <v/>
      </c>
      <c r="G108" s="38">
        <f>'Matched Programs'!AD10</f>
        <v/>
      </c>
      <c r="H108" s="39">
        <f>HYPERLINK("#'Matched Programs'!B10","Go")</f>
        <v/>
      </c>
    </row>
    <row r="109" ht="15" customHeight="1">
      <c r="A109" s="38">
        <f>IF('Matched Programs'!B84&lt;&gt;"",'Matched Programs'!B84,'Matched Programs'!C84)</f>
        <v/>
      </c>
      <c r="B109" s="38">
        <f>IF('Matched Programs'!J84="","",'Matched Programs'!J84)</f>
        <v/>
      </c>
      <c r="C109" s="38">
        <f>IF(AND('Matched Programs'!B84&lt;&gt;"",'Matched Programs'!C84&lt;&gt;""),'Matched Programs'!C84,"")</f>
        <v/>
      </c>
      <c r="D109" s="38">
        <f>'Matched Programs'!X84</f>
        <v/>
      </c>
      <c r="E109" s="38">
        <f>'Matched Programs'!Y84</f>
        <v/>
      </c>
      <c r="F109" s="38">
        <f>'Matched Programs'!Z84</f>
        <v/>
      </c>
      <c r="G109" s="38">
        <f>'Matched Programs'!AD84</f>
        <v/>
      </c>
      <c r="H109" s="39">
        <f>HYPERLINK("#'Matched Programs'!B84","Go")</f>
        <v/>
      </c>
    </row>
    <row r="110" ht="27.75" customHeight="1">
      <c r="A110" s="38">
        <f>IF('Matched Programs'!B134&lt;&gt;"",'Matched Programs'!B134,'Matched Programs'!C134)</f>
        <v/>
      </c>
      <c r="B110" s="38">
        <f>IF('Matched Programs'!J134="","",'Matched Programs'!J134)</f>
        <v/>
      </c>
      <c r="C110" s="38">
        <f>IF(AND('Matched Programs'!B134&lt;&gt;"",'Matched Programs'!C134&lt;&gt;""),'Matched Programs'!C134,"")</f>
        <v/>
      </c>
      <c r="D110" s="38">
        <f>'Matched Programs'!X134</f>
        <v/>
      </c>
      <c r="E110" s="38">
        <f>'Matched Programs'!Y134</f>
        <v/>
      </c>
      <c r="F110" s="38">
        <f>'Matched Programs'!Z134</f>
        <v/>
      </c>
      <c r="G110" s="38">
        <f>'Matched Programs'!AD134</f>
        <v/>
      </c>
      <c r="H110" s="39">
        <f>HYPERLINK("#'Matched Programs'!B134","Go")</f>
        <v/>
      </c>
    </row>
    <row r="111" ht="15" customHeight="1">
      <c r="A111" s="34" t="inlineStr">
        <is>
          <t>NAHASDA &amp; Native housing</t>
        </is>
      </c>
      <c r="B111" s="35" t="n"/>
      <c r="C111" s="35" t="n"/>
      <c r="D111" s="35" t="n"/>
      <c r="E111" s="35" t="n"/>
      <c r="F111" s="35" t="n"/>
      <c r="G111" s="35" t="n"/>
      <c r="H111" s="35" t="n"/>
    </row>
    <row r="112" ht="15" customHeight="1">
      <c r="A112" s="36" t="inlineStr">
        <is>
          <t xml:space="preserve">   Eligibility: Excluded</t>
        </is>
      </c>
      <c r="B112" s="37" t="n"/>
      <c r="C112" s="37" t="n"/>
      <c r="D112" s="37" t="n"/>
      <c r="E112" s="37" t="n"/>
      <c r="F112" s="37" t="n"/>
      <c r="G112" s="37" t="n"/>
      <c r="H112" s="37" t="n"/>
    </row>
    <row r="113" ht="15" customHeight="1">
      <c r="A113" s="38">
        <f>IF('Matched Programs'!B57&lt;&gt;"",'Matched Programs'!B57,'Matched Programs'!C57)</f>
        <v/>
      </c>
      <c r="B113" s="38">
        <f>IF('Matched Programs'!J57="","",'Matched Programs'!J57)</f>
        <v/>
      </c>
      <c r="C113" s="38">
        <f>IF(AND('Matched Programs'!B57&lt;&gt;"",'Matched Programs'!C57&lt;&gt;""),'Matched Programs'!C57,"")</f>
        <v/>
      </c>
      <c r="D113" s="38">
        <f>'Matched Programs'!X57</f>
        <v/>
      </c>
      <c r="E113" s="38">
        <f>'Matched Programs'!Y57</f>
        <v/>
      </c>
      <c r="F113" s="38">
        <f>'Matched Programs'!Z57</f>
        <v/>
      </c>
      <c r="G113" s="38">
        <f>'Matched Programs'!AD57</f>
        <v/>
      </c>
      <c r="H113" s="39">
        <f>HYPERLINK("#'Matched Programs'!B57","Go")</f>
        <v/>
      </c>
    </row>
    <row r="114" ht="27.75" customHeight="1">
      <c r="A114" s="38">
        <f>IF('Matched Programs'!B62&lt;&gt;"",'Matched Programs'!B62,'Matched Programs'!C62)</f>
        <v/>
      </c>
      <c r="B114" s="38">
        <f>IF('Matched Programs'!J62="","",'Matched Programs'!J62)</f>
        <v/>
      </c>
      <c r="C114" s="38">
        <f>IF(AND('Matched Programs'!B62&lt;&gt;"",'Matched Programs'!C62&lt;&gt;""),'Matched Programs'!C62,"")</f>
        <v/>
      </c>
      <c r="D114" s="38">
        <f>'Matched Programs'!X62</f>
        <v/>
      </c>
      <c r="E114" s="38">
        <f>'Matched Programs'!Y62</f>
        <v/>
      </c>
      <c r="F114" s="38">
        <f>'Matched Programs'!Z62</f>
        <v/>
      </c>
      <c r="G114" s="38">
        <f>'Matched Programs'!AD62</f>
        <v/>
      </c>
      <c r="H114" s="39">
        <f>HYPERLINK("#'Matched Programs'!B62","Go")</f>
        <v/>
      </c>
    </row>
    <row r="115" ht="15" customHeight="1">
      <c r="A115" s="38">
        <f>IF('Matched Programs'!B83&lt;&gt;"",'Matched Programs'!B83,'Matched Programs'!C83)</f>
        <v/>
      </c>
      <c r="B115" s="38">
        <f>IF('Matched Programs'!J83="","",'Matched Programs'!J83)</f>
        <v/>
      </c>
      <c r="C115" s="38">
        <f>IF(AND('Matched Programs'!B83&lt;&gt;"",'Matched Programs'!C83&lt;&gt;""),'Matched Programs'!C83,"")</f>
        <v/>
      </c>
      <c r="D115" s="38">
        <f>'Matched Programs'!X83</f>
        <v/>
      </c>
      <c r="E115" s="38">
        <f>'Matched Programs'!Y83</f>
        <v/>
      </c>
      <c r="F115" s="38">
        <f>'Matched Programs'!Z83</f>
        <v/>
      </c>
      <c r="G115" s="38">
        <f>'Matched Programs'!AD83</f>
        <v/>
      </c>
      <c r="H115" s="39">
        <f>HYPERLINK("#'Matched Programs'!B83","Go")</f>
        <v/>
      </c>
    </row>
    <row r="116" ht="15" customHeight="1">
      <c r="A116" s="36" t="inlineStr">
        <is>
          <t xml:space="preserve">   Eligibility: Unclear / needs check</t>
        </is>
      </c>
      <c r="B116" s="37" t="n"/>
      <c r="C116" s="37" t="n"/>
      <c r="D116" s="37" t="n"/>
      <c r="E116" s="37" t="n"/>
      <c r="F116" s="37" t="n"/>
      <c r="G116" s="37" t="n"/>
      <c r="H116" s="37" t="n"/>
    </row>
    <row r="117" ht="15" customHeight="1">
      <c r="A117" s="38">
        <f>IF('Matched Programs'!B61&lt;&gt;"",'Matched Programs'!B61,'Matched Programs'!C61)</f>
        <v/>
      </c>
      <c r="B117" s="38">
        <f>IF('Matched Programs'!J61="","",'Matched Programs'!J61)</f>
        <v/>
      </c>
      <c r="C117" s="38">
        <f>IF(AND('Matched Programs'!B61&lt;&gt;"",'Matched Programs'!C61&lt;&gt;""),'Matched Programs'!C61,"")</f>
        <v/>
      </c>
      <c r="D117" s="38">
        <f>'Matched Programs'!X61</f>
        <v/>
      </c>
      <c r="E117" s="38">
        <f>'Matched Programs'!Y61</f>
        <v/>
      </c>
      <c r="F117" s="38">
        <f>'Matched Programs'!Z61</f>
        <v/>
      </c>
      <c r="G117" s="38">
        <f>'Matched Programs'!AD61</f>
        <v/>
      </c>
      <c r="H117" s="39">
        <f>HYPERLINK("#'Matched Programs'!B61","Go")</f>
        <v/>
      </c>
    </row>
    <row r="118" ht="15" customHeight="1">
      <c r="A118" s="36" t="inlineStr">
        <is>
          <t xml:space="preserve">   Eligibility: Not applicable</t>
        </is>
      </c>
      <c r="B118" s="37" t="n"/>
      <c r="C118" s="37" t="n"/>
      <c r="D118" s="37" t="n"/>
      <c r="E118" s="37" t="n"/>
      <c r="F118" s="37" t="n"/>
      <c r="G118" s="37" t="n"/>
      <c r="H118" s="37" t="n"/>
    </row>
    <row r="119" ht="41.25" customHeight="1">
      <c r="A119" s="38">
        <f>IF('Matched Programs'!B58&lt;&gt;"",'Matched Programs'!B58,'Matched Programs'!C58)</f>
        <v/>
      </c>
      <c r="B119" s="38">
        <f>IF('Matched Programs'!J58="","",'Matched Programs'!J58)</f>
        <v/>
      </c>
      <c r="C119" s="38">
        <f>IF(AND('Matched Programs'!B58&lt;&gt;"",'Matched Programs'!C58&lt;&gt;""),'Matched Programs'!C58,"")</f>
        <v/>
      </c>
      <c r="D119" s="38">
        <f>'Matched Programs'!X58</f>
        <v/>
      </c>
      <c r="E119" s="38">
        <f>'Matched Programs'!Y58</f>
        <v/>
      </c>
      <c r="F119" s="38">
        <f>'Matched Programs'!Z58</f>
        <v/>
      </c>
      <c r="G119" s="38">
        <f>'Matched Programs'!AD58</f>
        <v/>
      </c>
      <c r="H119" s="39">
        <f>HYPERLINK("#'Matched Programs'!B58","Go")</f>
        <v/>
      </c>
    </row>
    <row r="120" ht="27.75" customHeight="1">
      <c r="A120" s="38">
        <f>IF('Matched Programs'!B59&lt;&gt;"",'Matched Programs'!B59,'Matched Programs'!C59)</f>
        <v/>
      </c>
      <c r="B120" s="38">
        <f>IF('Matched Programs'!J59="","",'Matched Programs'!J59)</f>
        <v/>
      </c>
      <c r="C120" s="38">
        <f>IF(AND('Matched Programs'!B59&lt;&gt;"",'Matched Programs'!C59&lt;&gt;""),'Matched Programs'!C59,"")</f>
        <v/>
      </c>
      <c r="D120" s="38">
        <f>'Matched Programs'!X59</f>
        <v/>
      </c>
      <c r="E120" s="38">
        <f>'Matched Programs'!Y59</f>
        <v/>
      </c>
      <c r="F120" s="38">
        <f>'Matched Programs'!Z59</f>
        <v/>
      </c>
      <c r="G120" s="38">
        <f>'Matched Programs'!AD59</f>
        <v/>
      </c>
      <c r="H120" s="39">
        <f>HYPERLINK("#'Matched Programs'!B59","Go")</f>
        <v/>
      </c>
    </row>
    <row r="121" ht="27.75" customHeight="1">
      <c r="A121" s="38">
        <f>IF('Matched Programs'!B60&lt;&gt;"",'Matched Programs'!B60,'Matched Programs'!C60)</f>
        <v/>
      </c>
      <c r="B121" s="38">
        <f>IF('Matched Programs'!J60="","",'Matched Programs'!J60)</f>
        <v/>
      </c>
      <c r="C121" s="38">
        <f>IF(AND('Matched Programs'!B60&lt;&gt;"",'Matched Programs'!C60&lt;&gt;""),'Matched Programs'!C60,"")</f>
        <v/>
      </c>
      <c r="D121" s="38">
        <f>'Matched Programs'!X60</f>
        <v/>
      </c>
      <c r="E121" s="38">
        <f>'Matched Programs'!Y60</f>
        <v/>
      </c>
      <c r="F121" s="38">
        <f>'Matched Programs'!Z60</f>
        <v/>
      </c>
      <c r="G121" s="38">
        <f>'Matched Programs'!AD60</f>
        <v/>
      </c>
      <c r="H121" s="39">
        <f>HYPERLINK("#'Matched Programs'!B60","Go")</f>
        <v/>
      </c>
    </row>
    <row r="122" ht="15" customHeight="1">
      <c r="A122" s="34" t="inlineStr">
        <is>
          <t>National Housing Act (FHA &amp; mortgage insurance)</t>
        </is>
      </c>
      <c r="B122" s="35" t="n"/>
      <c r="C122" s="35" t="n"/>
      <c r="D122" s="35" t="n"/>
      <c r="E122" s="35" t="n"/>
      <c r="F122" s="35" t="n"/>
      <c r="G122" s="35" t="n"/>
      <c r="H122" s="35" t="n"/>
    </row>
    <row r="123" ht="15" customHeight="1">
      <c r="A123" s="36" t="inlineStr">
        <is>
          <t xml:space="preserve">   Eligibility: Unclear / needs check</t>
        </is>
      </c>
      <c r="B123" s="37" t="n"/>
      <c r="C123" s="37" t="n"/>
      <c r="D123" s="37" t="n"/>
      <c r="E123" s="37" t="n"/>
      <c r="F123" s="37" t="n"/>
      <c r="G123" s="37" t="n"/>
      <c r="H123" s="37" t="n"/>
    </row>
    <row r="124" ht="27.75" customHeight="1">
      <c r="A124" s="38">
        <f>IF('Matched Programs'!B35&lt;&gt;"",'Matched Programs'!B35,'Matched Programs'!C35)</f>
        <v/>
      </c>
      <c r="B124" s="38">
        <f>IF('Matched Programs'!J35="","",'Matched Programs'!J35)</f>
        <v/>
      </c>
      <c r="C124" s="38">
        <f>IF(AND('Matched Programs'!B35&lt;&gt;"",'Matched Programs'!C35&lt;&gt;""),'Matched Programs'!C35,"")</f>
        <v/>
      </c>
      <c r="D124" s="38">
        <f>'Matched Programs'!X35</f>
        <v/>
      </c>
      <c r="E124" s="38">
        <f>'Matched Programs'!Y35</f>
        <v/>
      </c>
      <c r="F124" s="38">
        <f>'Matched Programs'!Z35</f>
        <v/>
      </c>
      <c r="G124" s="38">
        <f>'Matched Programs'!AD35</f>
        <v/>
      </c>
      <c r="H124" s="39">
        <f>HYPERLINK("#'Matched Programs'!B35","Go")</f>
        <v/>
      </c>
    </row>
    <row r="125" ht="15" customHeight="1">
      <c r="A125" s="36" t="inlineStr">
        <is>
          <t xml:space="preserve">   Eligibility: Not applicable</t>
        </is>
      </c>
      <c r="B125" s="37" t="n"/>
      <c r="C125" s="37" t="n"/>
      <c r="D125" s="37" t="n"/>
      <c r="E125" s="37" t="n"/>
      <c r="F125" s="37" t="n"/>
      <c r="G125" s="37" t="n"/>
      <c r="H125" s="37" t="n"/>
    </row>
    <row r="126" ht="27.75" customHeight="1">
      <c r="A126" s="38">
        <f>IF('Matched Programs'!B17&lt;&gt;"",'Matched Programs'!B17,'Matched Programs'!C17)</f>
        <v/>
      </c>
      <c r="B126" s="38">
        <f>IF('Matched Programs'!J17="","",'Matched Programs'!J17)</f>
        <v/>
      </c>
      <c r="C126" s="38">
        <f>IF(AND('Matched Programs'!B17&lt;&gt;"",'Matched Programs'!C17&lt;&gt;""),'Matched Programs'!C17,"")</f>
        <v/>
      </c>
      <c r="D126" s="38">
        <f>'Matched Programs'!X17</f>
        <v/>
      </c>
      <c r="E126" s="38">
        <f>'Matched Programs'!Y17</f>
        <v/>
      </c>
      <c r="F126" s="38">
        <f>'Matched Programs'!Z17</f>
        <v/>
      </c>
      <c r="G126" s="38">
        <f>'Matched Programs'!AD17</f>
        <v/>
      </c>
      <c r="H126" s="39">
        <f>HYPERLINK("#'Matched Programs'!B17","Go")</f>
        <v/>
      </c>
    </row>
    <row r="127" ht="27.75" customHeight="1">
      <c r="A127" s="38">
        <f>IF('Matched Programs'!B18&lt;&gt;"",'Matched Programs'!B18,'Matched Programs'!C18)</f>
        <v/>
      </c>
      <c r="B127" s="38">
        <f>IF('Matched Programs'!J18="","",'Matched Programs'!J18)</f>
        <v/>
      </c>
      <c r="C127" s="38">
        <f>IF(AND('Matched Programs'!B18&lt;&gt;"",'Matched Programs'!C18&lt;&gt;""),'Matched Programs'!C18,"")</f>
        <v/>
      </c>
      <c r="D127" s="38">
        <f>'Matched Programs'!X18</f>
        <v/>
      </c>
      <c r="E127" s="38">
        <f>'Matched Programs'!Y18</f>
        <v/>
      </c>
      <c r="F127" s="38">
        <f>'Matched Programs'!Z18</f>
        <v/>
      </c>
      <c r="G127" s="38">
        <f>'Matched Programs'!AD18</f>
        <v/>
      </c>
      <c r="H127" s="39">
        <f>HYPERLINK("#'Matched Programs'!B18","Go")</f>
        <v/>
      </c>
    </row>
    <row r="128" ht="27.75" customHeight="1">
      <c r="A128" s="38">
        <f>IF('Matched Programs'!B19&lt;&gt;"",'Matched Programs'!B19,'Matched Programs'!C19)</f>
        <v/>
      </c>
      <c r="B128" s="38">
        <f>IF('Matched Programs'!J19="","",'Matched Programs'!J19)</f>
        <v/>
      </c>
      <c r="C128" s="38">
        <f>IF(AND('Matched Programs'!B19&lt;&gt;"",'Matched Programs'!C19&lt;&gt;""),'Matched Programs'!C19,"")</f>
        <v/>
      </c>
      <c r="D128" s="38">
        <f>'Matched Programs'!X19</f>
        <v/>
      </c>
      <c r="E128" s="38">
        <f>'Matched Programs'!Y19</f>
        <v/>
      </c>
      <c r="F128" s="38">
        <f>'Matched Programs'!Z19</f>
        <v/>
      </c>
      <c r="G128" s="38">
        <f>'Matched Programs'!AD19</f>
        <v/>
      </c>
      <c r="H128" s="39">
        <f>HYPERLINK("#'Matched Programs'!B19","Go")</f>
        <v/>
      </c>
    </row>
    <row r="129" ht="27.75" customHeight="1">
      <c r="A129" s="38">
        <f>IF('Matched Programs'!B20&lt;&gt;"",'Matched Programs'!B20,'Matched Programs'!C20)</f>
        <v/>
      </c>
      <c r="B129" s="38">
        <f>IF('Matched Programs'!J20="","",'Matched Programs'!J20)</f>
        <v/>
      </c>
      <c r="C129" s="38">
        <f>IF(AND('Matched Programs'!B20&lt;&gt;"",'Matched Programs'!C20&lt;&gt;""),'Matched Programs'!C20,"")</f>
        <v/>
      </c>
      <c r="D129" s="38">
        <f>'Matched Programs'!X20</f>
        <v/>
      </c>
      <c r="E129" s="38">
        <f>'Matched Programs'!Y20</f>
        <v/>
      </c>
      <c r="F129" s="38">
        <f>'Matched Programs'!Z20</f>
        <v/>
      </c>
      <c r="G129" s="38">
        <f>'Matched Programs'!AD20</f>
        <v/>
      </c>
      <c r="H129" s="39">
        <f>HYPERLINK("#'Matched Programs'!B20","Go")</f>
        <v/>
      </c>
    </row>
    <row r="130" ht="27.75" customHeight="1">
      <c r="A130" s="38">
        <f>IF('Matched Programs'!B21&lt;&gt;"",'Matched Programs'!B21,'Matched Programs'!C21)</f>
        <v/>
      </c>
      <c r="B130" s="38">
        <f>IF('Matched Programs'!J21="","",'Matched Programs'!J21)</f>
        <v/>
      </c>
      <c r="C130" s="38">
        <f>IF(AND('Matched Programs'!B21&lt;&gt;"",'Matched Programs'!C21&lt;&gt;""),'Matched Programs'!C21,"")</f>
        <v/>
      </c>
      <c r="D130" s="38">
        <f>'Matched Programs'!X21</f>
        <v/>
      </c>
      <c r="E130" s="38">
        <f>'Matched Programs'!Y21</f>
        <v/>
      </c>
      <c r="F130" s="38">
        <f>'Matched Programs'!Z21</f>
        <v/>
      </c>
      <c r="G130" s="38">
        <f>'Matched Programs'!AD21</f>
        <v/>
      </c>
      <c r="H130" s="39">
        <f>HYPERLINK("#'Matched Programs'!B21","Go")</f>
        <v/>
      </c>
    </row>
    <row r="131" ht="27.75" customHeight="1">
      <c r="A131" s="38">
        <f>IF('Matched Programs'!B22&lt;&gt;"",'Matched Programs'!B22,'Matched Programs'!C22)</f>
        <v/>
      </c>
      <c r="B131" s="38">
        <f>IF('Matched Programs'!J22="","",'Matched Programs'!J22)</f>
        <v/>
      </c>
      <c r="C131" s="38">
        <f>IF(AND('Matched Programs'!B22&lt;&gt;"",'Matched Programs'!C22&lt;&gt;""),'Matched Programs'!C22,"")</f>
        <v/>
      </c>
      <c r="D131" s="38">
        <f>'Matched Programs'!X22</f>
        <v/>
      </c>
      <c r="E131" s="38">
        <f>'Matched Programs'!Y22</f>
        <v/>
      </c>
      <c r="F131" s="38">
        <f>'Matched Programs'!Z22</f>
        <v/>
      </c>
      <c r="G131" s="38">
        <f>'Matched Programs'!AD22</f>
        <v/>
      </c>
      <c r="H131" s="39">
        <f>HYPERLINK("#'Matched Programs'!B22","Go")</f>
        <v/>
      </c>
    </row>
    <row r="132" ht="27.75" customHeight="1">
      <c r="A132" s="38">
        <f>IF('Matched Programs'!B23&lt;&gt;"",'Matched Programs'!B23,'Matched Programs'!C23)</f>
        <v/>
      </c>
      <c r="B132" s="38">
        <f>IF('Matched Programs'!J23="","",'Matched Programs'!J23)</f>
        <v/>
      </c>
      <c r="C132" s="38">
        <f>IF(AND('Matched Programs'!B23&lt;&gt;"",'Matched Programs'!C23&lt;&gt;""),'Matched Programs'!C23,"")</f>
        <v/>
      </c>
      <c r="D132" s="38">
        <f>'Matched Programs'!X23</f>
        <v/>
      </c>
      <c r="E132" s="38">
        <f>'Matched Programs'!Y23</f>
        <v/>
      </c>
      <c r="F132" s="38">
        <f>'Matched Programs'!Z23</f>
        <v/>
      </c>
      <c r="G132" s="38">
        <f>'Matched Programs'!AD23</f>
        <v/>
      </c>
      <c r="H132" s="39">
        <f>HYPERLINK("#'Matched Programs'!B23","Go")</f>
        <v/>
      </c>
    </row>
    <row r="133" ht="41.25" customHeight="1">
      <c r="A133" s="38">
        <f>IF('Matched Programs'!B24&lt;&gt;"",'Matched Programs'!B24,'Matched Programs'!C24)</f>
        <v/>
      </c>
      <c r="B133" s="38">
        <f>IF('Matched Programs'!J24="","",'Matched Programs'!J24)</f>
        <v/>
      </c>
      <c r="C133" s="38">
        <f>IF(AND('Matched Programs'!B24&lt;&gt;"",'Matched Programs'!C24&lt;&gt;""),'Matched Programs'!C24,"")</f>
        <v/>
      </c>
      <c r="D133" s="38">
        <f>'Matched Programs'!X24</f>
        <v/>
      </c>
      <c r="E133" s="38">
        <f>'Matched Programs'!Y24</f>
        <v/>
      </c>
      <c r="F133" s="38">
        <f>'Matched Programs'!Z24</f>
        <v/>
      </c>
      <c r="G133" s="38">
        <f>'Matched Programs'!AD24</f>
        <v/>
      </c>
      <c r="H133" s="39">
        <f>HYPERLINK("#'Matched Programs'!B24","Go")</f>
        <v/>
      </c>
    </row>
    <row r="134" ht="27.75" customHeight="1">
      <c r="A134" s="38">
        <f>IF('Matched Programs'!B25&lt;&gt;"",'Matched Programs'!B25,'Matched Programs'!C25)</f>
        <v/>
      </c>
      <c r="B134" s="38">
        <f>IF('Matched Programs'!J25="","",'Matched Programs'!J25)</f>
        <v/>
      </c>
      <c r="C134" s="38">
        <f>IF(AND('Matched Programs'!B25&lt;&gt;"",'Matched Programs'!C25&lt;&gt;""),'Matched Programs'!C25,"")</f>
        <v/>
      </c>
      <c r="D134" s="38">
        <f>'Matched Programs'!X25</f>
        <v/>
      </c>
      <c r="E134" s="38">
        <f>'Matched Programs'!Y25</f>
        <v/>
      </c>
      <c r="F134" s="38">
        <f>'Matched Programs'!Z25</f>
        <v/>
      </c>
      <c r="G134" s="38">
        <f>'Matched Programs'!AD25</f>
        <v/>
      </c>
      <c r="H134" s="39">
        <f>HYPERLINK("#'Matched Programs'!B25","Go")</f>
        <v/>
      </c>
    </row>
    <row r="135" ht="27.75" customHeight="1">
      <c r="A135" s="38">
        <f>IF('Matched Programs'!B26&lt;&gt;"",'Matched Programs'!B26,'Matched Programs'!C26)</f>
        <v/>
      </c>
      <c r="B135" s="38">
        <f>IF('Matched Programs'!J26="","",'Matched Programs'!J26)</f>
        <v/>
      </c>
      <c r="C135" s="38">
        <f>IF(AND('Matched Programs'!B26&lt;&gt;"",'Matched Programs'!C26&lt;&gt;""),'Matched Programs'!C26,"")</f>
        <v/>
      </c>
      <c r="D135" s="38">
        <f>'Matched Programs'!X26</f>
        <v/>
      </c>
      <c r="E135" s="38">
        <f>'Matched Programs'!Y26</f>
        <v/>
      </c>
      <c r="F135" s="38">
        <f>'Matched Programs'!Z26</f>
        <v/>
      </c>
      <c r="G135" s="38">
        <f>'Matched Programs'!AD26</f>
        <v/>
      </c>
      <c r="H135" s="39">
        <f>HYPERLINK("#'Matched Programs'!B26","Go")</f>
        <v/>
      </c>
    </row>
    <row r="136" ht="27.75" customHeight="1">
      <c r="A136" s="38">
        <f>IF('Matched Programs'!B28&lt;&gt;"",'Matched Programs'!B28,'Matched Programs'!C28)</f>
        <v/>
      </c>
      <c r="B136" s="38">
        <f>IF('Matched Programs'!J28="","",'Matched Programs'!J28)</f>
        <v/>
      </c>
      <c r="C136" s="38">
        <f>IF(AND('Matched Programs'!B28&lt;&gt;"",'Matched Programs'!C28&lt;&gt;""),'Matched Programs'!C28,"")</f>
        <v/>
      </c>
      <c r="D136" s="38">
        <f>'Matched Programs'!X28</f>
        <v/>
      </c>
      <c r="E136" s="38">
        <f>'Matched Programs'!Y28</f>
        <v/>
      </c>
      <c r="F136" s="38">
        <f>'Matched Programs'!Z28</f>
        <v/>
      </c>
      <c r="G136" s="38">
        <f>'Matched Programs'!AD28</f>
        <v/>
      </c>
      <c r="H136" s="39">
        <f>HYPERLINK("#'Matched Programs'!B28","Go")</f>
        <v/>
      </c>
    </row>
    <row r="137" ht="27.75" customHeight="1">
      <c r="A137" s="38">
        <f>IF('Matched Programs'!B29&lt;&gt;"",'Matched Programs'!B29,'Matched Programs'!C29)</f>
        <v/>
      </c>
      <c r="B137" s="38">
        <f>IF('Matched Programs'!J29="","",'Matched Programs'!J29)</f>
        <v/>
      </c>
      <c r="C137" s="38">
        <f>IF(AND('Matched Programs'!B29&lt;&gt;"",'Matched Programs'!C29&lt;&gt;""),'Matched Programs'!C29,"")</f>
        <v/>
      </c>
      <c r="D137" s="38">
        <f>'Matched Programs'!X29</f>
        <v/>
      </c>
      <c r="E137" s="38">
        <f>'Matched Programs'!Y29</f>
        <v/>
      </c>
      <c r="F137" s="38">
        <f>'Matched Programs'!Z29</f>
        <v/>
      </c>
      <c r="G137" s="38">
        <f>'Matched Programs'!AD29</f>
        <v/>
      </c>
      <c r="H137" s="39">
        <f>HYPERLINK("#'Matched Programs'!B29","Go")</f>
        <v/>
      </c>
    </row>
    <row r="138" ht="41.25" customHeight="1">
      <c r="A138" s="38">
        <f>IF('Matched Programs'!B30&lt;&gt;"",'Matched Programs'!B30,'Matched Programs'!C30)</f>
        <v/>
      </c>
      <c r="B138" s="38">
        <f>IF('Matched Programs'!J30="","",'Matched Programs'!J30)</f>
        <v/>
      </c>
      <c r="C138" s="38">
        <f>IF(AND('Matched Programs'!B30&lt;&gt;"",'Matched Programs'!C30&lt;&gt;""),'Matched Programs'!C30,"")</f>
        <v/>
      </c>
      <c r="D138" s="38">
        <f>'Matched Programs'!X30</f>
        <v/>
      </c>
      <c r="E138" s="38">
        <f>'Matched Programs'!Y30</f>
        <v/>
      </c>
      <c r="F138" s="38">
        <f>'Matched Programs'!Z30</f>
        <v/>
      </c>
      <c r="G138" s="38">
        <f>'Matched Programs'!AD30</f>
        <v/>
      </c>
      <c r="H138" s="39">
        <f>HYPERLINK("#'Matched Programs'!B30","Go")</f>
        <v/>
      </c>
    </row>
    <row r="139" ht="27.75" customHeight="1">
      <c r="A139" s="38">
        <f>IF('Matched Programs'!B31&lt;&gt;"",'Matched Programs'!B31,'Matched Programs'!C31)</f>
        <v/>
      </c>
      <c r="B139" s="38">
        <f>IF('Matched Programs'!J31="","",'Matched Programs'!J31)</f>
        <v/>
      </c>
      <c r="C139" s="38">
        <f>IF(AND('Matched Programs'!B31&lt;&gt;"",'Matched Programs'!C31&lt;&gt;""),'Matched Programs'!C31,"")</f>
        <v/>
      </c>
      <c r="D139" s="38">
        <f>'Matched Programs'!X31</f>
        <v/>
      </c>
      <c r="E139" s="38">
        <f>'Matched Programs'!Y31</f>
        <v/>
      </c>
      <c r="F139" s="38">
        <f>'Matched Programs'!Z31</f>
        <v/>
      </c>
      <c r="G139" s="38">
        <f>'Matched Programs'!AD31</f>
        <v/>
      </c>
      <c r="H139" s="39">
        <f>HYPERLINK("#'Matched Programs'!B31","Go")</f>
        <v/>
      </c>
    </row>
    <row r="140" ht="27.75" customHeight="1">
      <c r="A140" s="38">
        <f>IF('Matched Programs'!B32&lt;&gt;"",'Matched Programs'!B32,'Matched Programs'!C32)</f>
        <v/>
      </c>
      <c r="B140" s="38">
        <f>IF('Matched Programs'!J32="","",'Matched Programs'!J32)</f>
        <v/>
      </c>
      <c r="C140" s="38">
        <f>IF(AND('Matched Programs'!B32&lt;&gt;"",'Matched Programs'!C32&lt;&gt;""),'Matched Programs'!C32,"")</f>
        <v/>
      </c>
      <c r="D140" s="38">
        <f>'Matched Programs'!X32</f>
        <v/>
      </c>
      <c r="E140" s="38">
        <f>'Matched Programs'!Y32</f>
        <v/>
      </c>
      <c r="F140" s="38">
        <f>'Matched Programs'!Z32</f>
        <v/>
      </c>
      <c r="G140" s="38">
        <f>'Matched Programs'!AD32</f>
        <v/>
      </c>
      <c r="H140" s="39">
        <f>HYPERLINK("#'Matched Programs'!B32","Go")</f>
        <v/>
      </c>
    </row>
    <row r="141" ht="27.75" customHeight="1">
      <c r="A141" s="38">
        <f>IF('Matched Programs'!B33&lt;&gt;"",'Matched Programs'!B33,'Matched Programs'!C33)</f>
        <v/>
      </c>
      <c r="B141" s="38">
        <f>IF('Matched Programs'!J33="","",'Matched Programs'!J33)</f>
        <v/>
      </c>
      <c r="C141" s="38">
        <f>IF(AND('Matched Programs'!B33&lt;&gt;"",'Matched Programs'!C33&lt;&gt;""),'Matched Programs'!C33,"")</f>
        <v/>
      </c>
      <c r="D141" s="38">
        <f>'Matched Programs'!X33</f>
        <v/>
      </c>
      <c r="E141" s="38">
        <f>'Matched Programs'!Y33</f>
        <v/>
      </c>
      <c r="F141" s="38">
        <f>'Matched Programs'!Z33</f>
        <v/>
      </c>
      <c r="G141" s="38">
        <f>'Matched Programs'!AD33</f>
        <v/>
      </c>
      <c r="H141" s="39">
        <f>HYPERLINK("#'Matched Programs'!B33","Go")</f>
        <v/>
      </c>
    </row>
    <row r="142" ht="41.25" customHeight="1">
      <c r="A142" s="38">
        <f>IF('Matched Programs'!B36&lt;&gt;"",'Matched Programs'!B36,'Matched Programs'!C36)</f>
        <v/>
      </c>
      <c r="B142" s="38">
        <f>IF('Matched Programs'!J36="","",'Matched Programs'!J36)</f>
        <v/>
      </c>
      <c r="C142" s="38">
        <f>IF(AND('Matched Programs'!B36&lt;&gt;"",'Matched Programs'!C36&lt;&gt;""),'Matched Programs'!C36,"")</f>
        <v/>
      </c>
      <c r="D142" s="38">
        <f>'Matched Programs'!X36</f>
        <v/>
      </c>
      <c r="E142" s="38">
        <f>'Matched Programs'!Y36</f>
        <v/>
      </c>
      <c r="F142" s="38">
        <f>'Matched Programs'!Z36</f>
        <v/>
      </c>
      <c r="G142" s="38">
        <f>'Matched Programs'!AD36</f>
        <v/>
      </c>
      <c r="H142" s="39">
        <f>HYPERLINK("#'Matched Programs'!B36","Go")</f>
        <v/>
      </c>
    </row>
    <row r="143" ht="27.75" customHeight="1">
      <c r="A143" s="38">
        <f>IF('Matched Programs'!B41&lt;&gt;"",'Matched Programs'!B41,'Matched Programs'!C41)</f>
        <v/>
      </c>
      <c r="B143" s="38">
        <f>IF('Matched Programs'!J41="","",'Matched Programs'!J41)</f>
        <v/>
      </c>
      <c r="C143" s="38">
        <f>IF(AND('Matched Programs'!B41&lt;&gt;"",'Matched Programs'!C41&lt;&gt;""),'Matched Programs'!C41,"")</f>
        <v/>
      </c>
      <c r="D143" s="38">
        <f>'Matched Programs'!X41</f>
        <v/>
      </c>
      <c r="E143" s="38">
        <f>'Matched Programs'!Y41</f>
        <v/>
      </c>
      <c r="F143" s="38">
        <f>'Matched Programs'!Z41</f>
        <v/>
      </c>
      <c r="G143" s="38">
        <f>'Matched Programs'!AD41</f>
        <v/>
      </c>
      <c r="H143" s="39">
        <f>HYPERLINK("#'Matched Programs'!B41","Go")</f>
        <v/>
      </c>
    </row>
    <row r="144" ht="41.25" customHeight="1">
      <c r="A144" s="38">
        <f>IF('Matched Programs'!B42&lt;&gt;"",'Matched Programs'!B42,'Matched Programs'!C42)</f>
        <v/>
      </c>
      <c r="B144" s="38">
        <f>IF('Matched Programs'!J42="","",'Matched Programs'!J42)</f>
        <v/>
      </c>
      <c r="C144" s="38">
        <f>IF(AND('Matched Programs'!B42&lt;&gt;"",'Matched Programs'!C42&lt;&gt;""),'Matched Programs'!C42,"")</f>
        <v/>
      </c>
      <c r="D144" s="38">
        <f>'Matched Programs'!X42</f>
        <v/>
      </c>
      <c r="E144" s="38">
        <f>'Matched Programs'!Y42</f>
        <v/>
      </c>
      <c r="F144" s="38">
        <f>'Matched Programs'!Z42</f>
        <v/>
      </c>
      <c r="G144" s="38">
        <f>'Matched Programs'!AD42</f>
        <v/>
      </c>
      <c r="H144" s="39">
        <f>HYPERLINK("#'Matched Programs'!B42","Go")</f>
        <v/>
      </c>
    </row>
    <row r="145" ht="27.75" customHeight="1">
      <c r="A145" s="38">
        <f>IF('Matched Programs'!B94&lt;&gt;"",'Matched Programs'!B94,'Matched Programs'!C94)</f>
        <v/>
      </c>
      <c r="B145" s="38">
        <f>IF('Matched Programs'!J94="","",'Matched Programs'!J94)</f>
        <v/>
      </c>
      <c r="C145" s="38">
        <f>IF(AND('Matched Programs'!B94&lt;&gt;"",'Matched Programs'!C94&lt;&gt;""),'Matched Programs'!C94,"")</f>
        <v/>
      </c>
      <c r="D145" s="38">
        <f>'Matched Programs'!X94</f>
        <v/>
      </c>
      <c r="E145" s="38">
        <f>'Matched Programs'!Y94</f>
        <v/>
      </c>
      <c r="F145" s="38">
        <f>'Matched Programs'!Z94</f>
        <v/>
      </c>
      <c r="G145" s="38">
        <f>'Matched Programs'!AD94</f>
        <v/>
      </c>
      <c r="H145" s="39">
        <f>HYPERLINK("#'Matched Programs'!B94","Go")</f>
        <v/>
      </c>
    </row>
    <row r="146" ht="27.75" customHeight="1">
      <c r="A146" s="38">
        <f>IF('Matched Programs'!B95&lt;&gt;"",'Matched Programs'!B95,'Matched Programs'!C95)</f>
        <v/>
      </c>
      <c r="B146" s="38">
        <f>IF('Matched Programs'!J95="","",'Matched Programs'!J95)</f>
        <v/>
      </c>
      <c r="C146" s="38">
        <f>IF(AND('Matched Programs'!B95&lt;&gt;"",'Matched Programs'!C95&lt;&gt;""),'Matched Programs'!C95,"")</f>
        <v/>
      </c>
      <c r="D146" s="38">
        <f>'Matched Programs'!X95</f>
        <v/>
      </c>
      <c r="E146" s="38">
        <f>'Matched Programs'!Y95</f>
        <v/>
      </c>
      <c r="F146" s="38">
        <f>'Matched Programs'!Z95</f>
        <v/>
      </c>
      <c r="G146" s="38">
        <f>'Matched Programs'!AD95</f>
        <v/>
      </c>
      <c r="H146" s="39">
        <f>HYPERLINK("#'Matched Programs'!B95","Go")</f>
        <v/>
      </c>
    </row>
    <row r="147" ht="27.75" customHeight="1">
      <c r="A147" s="38">
        <f>IF('Matched Programs'!B96&lt;&gt;"",'Matched Programs'!B96,'Matched Programs'!C96)</f>
        <v/>
      </c>
      <c r="B147" s="38">
        <f>IF('Matched Programs'!J96="","",'Matched Programs'!J96)</f>
        <v/>
      </c>
      <c r="C147" s="38">
        <f>IF(AND('Matched Programs'!B96&lt;&gt;"",'Matched Programs'!C96&lt;&gt;""),'Matched Programs'!C96,"")</f>
        <v/>
      </c>
      <c r="D147" s="38">
        <f>'Matched Programs'!X96</f>
        <v/>
      </c>
      <c r="E147" s="38">
        <f>'Matched Programs'!Y96</f>
        <v/>
      </c>
      <c r="F147" s="38">
        <f>'Matched Programs'!Z96</f>
        <v/>
      </c>
      <c r="G147" s="38">
        <f>'Matched Programs'!AD96</f>
        <v/>
      </c>
      <c r="H147" s="39">
        <f>HYPERLINK("#'Matched Programs'!B96","Go")</f>
        <v/>
      </c>
    </row>
    <row r="148" ht="27.75" customHeight="1">
      <c r="A148" s="38">
        <f>IF('Matched Programs'!B97&lt;&gt;"",'Matched Programs'!B97,'Matched Programs'!C97)</f>
        <v/>
      </c>
      <c r="B148" s="38">
        <f>IF('Matched Programs'!J97="","",'Matched Programs'!J97)</f>
        <v/>
      </c>
      <c r="C148" s="38">
        <f>IF(AND('Matched Programs'!B97&lt;&gt;"",'Matched Programs'!C97&lt;&gt;""),'Matched Programs'!C97,"")</f>
        <v/>
      </c>
      <c r="D148" s="38">
        <f>'Matched Programs'!X97</f>
        <v/>
      </c>
      <c r="E148" s="38">
        <f>'Matched Programs'!Y97</f>
        <v/>
      </c>
      <c r="F148" s="38">
        <f>'Matched Programs'!Z97</f>
        <v/>
      </c>
      <c r="G148" s="38">
        <f>'Matched Programs'!AD97</f>
        <v/>
      </c>
      <c r="H148" s="39">
        <f>HYPERLINK("#'Matched Programs'!B97","Go")</f>
        <v/>
      </c>
    </row>
    <row r="149" ht="27.75" customHeight="1">
      <c r="A149" s="38">
        <f>IF('Matched Programs'!B98&lt;&gt;"",'Matched Programs'!B98,'Matched Programs'!C98)</f>
        <v/>
      </c>
      <c r="B149" s="38">
        <f>IF('Matched Programs'!J98="","",'Matched Programs'!J98)</f>
        <v/>
      </c>
      <c r="C149" s="38">
        <f>IF(AND('Matched Programs'!B98&lt;&gt;"",'Matched Programs'!C98&lt;&gt;""),'Matched Programs'!C98,"")</f>
        <v/>
      </c>
      <c r="D149" s="38">
        <f>'Matched Programs'!X98</f>
        <v/>
      </c>
      <c r="E149" s="38">
        <f>'Matched Programs'!Y98</f>
        <v/>
      </c>
      <c r="F149" s="38">
        <f>'Matched Programs'!Z98</f>
        <v/>
      </c>
      <c r="G149" s="38">
        <f>'Matched Programs'!AD98</f>
        <v/>
      </c>
      <c r="H149" s="39">
        <f>HYPERLINK("#'Matched Programs'!B98","Go")</f>
        <v/>
      </c>
    </row>
    <row r="150" ht="27.75" customHeight="1">
      <c r="A150" s="38">
        <f>IF('Matched Programs'!B110&lt;&gt;"",'Matched Programs'!B110,'Matched Programs'!C110)</f>
        <v/>
      </c>
      <c r="B150" s="38">
        <f>IF('Matched Programs'!J110="","",'Matched Programs'!J110)</f>
        <v/>
      </c>
      <c r="C150" s="38">
        <f>IF(AND('Matched Programs'!B110&lt;&gt;"",'Matched Programs'!C110&lt;&gt;""),'Matched Programs'!C110,"")</f>
        <v/>
      </c>
      <c r="D150" s="38">
        <f>'Matched Programs'!X110</f>
        <v/>
      </c>
      <c r="E150" s="38">
        <f>'Matched Programs'!Y110</f>
        <v/>
      </c>
      <c r="F150" s="38">
        <f>'Matched Programs'!Z110</f>
        <v/>
      </c>
      <c r="G150" s="38">
        <f>'Matched Programs'!AD110</f>
        <v/>
      </c>
      <c r="H150" s="39">
        <f>HYPERLINK("#'Matched Programs'!B110","Go")</f>
        <v/>
      </c>
    </row>
    <row r="151" ht="27.75" customHeight="1">
      <c r="A151" s="38">
        <f>IF('Matched Programs'!B111&lt;&gt;"",'Matched Programs'!B111,'Matched Programs'!C111)</f>
        <v/>
      </c>
      <c r="B151" s="38">
        <f>IF('Matched Programs'!J111="","",'Matched Programs'!J111)</f>
        <v/>
      </c>
      <c r="C151" s="38">
        <f>IF(AND('Matched Programs'!B111&lt;&gt;"",'Matched Programs'!C111&lt;&gt;""),'Matched Programs'!C111,"")</f>
        <v/>
      </c>
      <c r="D151" s="38">
        <f>'Matched Programs'!X111</f>
        <v/>
      </c>
      <c r="E151" s="38">
        <f>'Matched Programs'!Y111</f>
        <v/>
      </c>
      <c r="F151" s="38">
        <f>'Matched Programs'!Z111</f>
        <v/>
      </c>
      <c r="G151" s="38">
        <f>'Matched Programs'!AD111</f>
        <v/>
      </c>
      <c r="H151" s="39">
        <f>HYPERLINK("#'Matched Programs'!B111","Go")</f>
        <v/>
      </c>
    </row>
    <row r="152" ht="27.75" customHeight="1">
      <c r="A152" s="38">
        <f>IF('Matched Programs'!B112&lt;&gt;"",'Matched Programs'!B112,'Matched Programs'!C112)</f>
        <v/>
      </c>
      <c r="B152" s="38">
        <f>IF('Matched Programs'!J112="","",'Matched Programs'!J112)</f>
        <v/>
      </c>
      <c r="C152" s="38">
        <f>IF(AND('Matched Programs'!B112&lt;&gt;"",'Matched Programs'!C112&lt;&gt;""),'Matched Programs'!C112,"")</f>
        <v/>
      </c>
      <c r="D152" s="38">
        <f>'Matched Programs'!X112</f>
        <v/>
      </c>
      <c r="E152" s="38">
        <f>'Matched Programs'!Y112</f>
        <v/>
      </c>
      <c r="F152" s="38">
        <f>'Matched Programs'!Z112</f>
        <v/>
      </c>
      <c r="G152" s="38">
        <f>'Matched Programs'!AD112</f>
        <v/>
      </c>
      <c r="H152" s="39">
        <f>HYPERLINK("#'Matched Programs'!B112","Go")</f>
        <v/>
      </c>
    </row>
    <row r="153" ht="27.75" customHeight="1">
      <c r="A153" s="38">
        <f>IF('Matched Programs'!B124&lt;&gt;"",'Matched Programs'!B124,'Matched Programs'!C124)</f>
        <v/>
      </c>
      <c r="B153" s="38">
        <f>IF('Matched Programs'!J124="","",'Matched Programs'!J124)</f>
        <v/>
      </c>
      <c r="C153" s="38">
        <f>IF(AND('Matched Programs'!B124&lt;&gt;"",'Matched Programs'!C124&lt;&gt;""),'Matched Programs'!C124,"")</f>
        <v/>
      </c>
      <c r="D153" s="38">
        <f>'Matched Programs'!X124</f>
        <v/>
      </c>
      <c r="E153" s="38">
        <f>'Matched Programs'!Y124</f>
        <v/>
      </c>
      <c r="F153" s="38">
        <f>'Matched Programs'!Z124</f>
        <v/>
      </c>
      <c r="G153" s="38">
        <f>'Matched Programs'!AD124</f>
        <v/>
      </c>
      <c r="H153" s="39">
        <f>HYPERLINK("#'Matched Programs'!B124","Go")</f>
        <v/>
      </c>
    </row>
    <row r="154" ht="27.75" customHeight="1">
      <c r="A154" s="38">
        <f>IF('Matched Programs'!B125&lt;&gt;"",'Matched Programs'!B125,'Matched Programs'!C125)</f>
        <v/>
      </c>
      <c r="B154" s="38">
        <f>IF('Matched Programs'!J125="","",'Matched Programs'!J125)</f>
        <v/>
      </c>
      <c r="C154" s="38">
        <f>IF(AND('Matched Programs'!B125&lt;&gt;"",'Matched Programs'!C125&lt;&gt;""),'Matched Programs'!C125,"")</f>
        <v/>
      </c>
      <c r="D154" s="38">
        <f>'Matched Programs'!X125</f>
        <v/>
      </c>
      <c r="E154" s="38">
        <f>'Matched Programs'!Y125</f>
        <v/>
      </c>
      <c r="F154" s="38">
        <f>'Matched Programs'!Z125</f>
        <v/>
      </c>
      <c r="G154" s="38">
        <f>'Matched Programs'!AD125</f>
        <v/>
      </c>
      <c r="H154" s="39">
        <f>HYPERLINK("#'Matched Programs'!B125","Go")</f>
        <v/>
      </c>
    </row>
    <row r="155" ht="27.75" customHeight="1">
      <c r="A155" s="38">
        <f>IF('Matched Programs'!B130&lt;&gt;"",'Matched Programs'!B130,'Matched Programs'!C130)</f>
        <v/>
      </c>
      <c r="B155" s="38">
        <f>IF('Matched Programs'!J130="","",'Matched Programs'!J130)</f>
        <v/>
      </c>
      <c r="C155" s="38">
        <f>IF(AND('Matched Programs'!B130&lt;&gt;"",'Matched Programs'!C130&lt;&gt;""),'Matched Programs'!C130,"")</f>
        <v/>
      </c>
      <c r="D155" s="38">
        <f>'Matched Programs'!X130</f>
        <v/>
      </c>
      <c r="E155" s="38">
        <f>'Matched Programs'!Y130</f>
        <v/>
      </c>
      <c r="F155" s="38">
        <f>'Matched Programs'!Z130</f>
        <v/>
      </c>
      <c r="G155" s="38">
        <f>'Matched Programs'!AD130</f>
        <v/>
      </c>
      <c r="H155" s="39">
        <f>HYPERLINK("#'Matched Programs'!B130","Go")</f>
        <v/>
      </c>
    </row>
    <row r="156" ht="27.75" customHeight="1">
      <c r="A156" s="38">
        <f>IF('Matched Programs'!B131&lt;&gt;"",'Matched Programs'!B131,'Matched Programs'!C131)</f>
        <v/>
      </c>
      <c r="B156" s="38">
        <f>IF('Matched Programs'!J131="","",'Matched Programs'!J131)</f>
        <v/>
      </c>
      <c r="C156" s="38">
        <f>IF(AND('Matched Programs'!B131&lt;&gt;"",'Matched Programs'!C131&lt;&gt;""),'Matched Programs'!C131,"")</f>
        <v/>
      </c>
      <c r="D156" s="38">
        <f>'Matched Programs'!X131</f>
        <v/>
      </c>
      <c r="E156" s="38">
        <f>'Matched Programs'!Y131</f>
        <v/>
      </c>
      <c r="F156" s="38">
        <f>'Matched Programs'!Z131</f>
        <v/>
      </c>
      <c r="G156" s="38">
        <f>'Matched Programs'!AD131</f>
        <v/>
      </c>
      <c r="H156" s="39">
        <f>HYPERLINK("#'Matched Programs'!B131","Go")</f>
        <v/>
      </c>
    </row>
    <row r="157" ht="27.75" customHeight="1">
      <c r="A157" s="38">
        <f>IF('Matched Programs'!B136&lt;&gt;"",'Matched Programs'!B136,'Matched Programs'!C136)</f>
        <v/>
      </c>
      <c r="B157" s="38">
        <f>IF('Matched Programs'!J136="","",'Matched Programs'!J136)</f>
        <v/>
      </c>
      <c r="C157" s="38">
        <f>IF(AND('Matched Programs'!B136&lt;&gt;"",'Matched Programs'!C136&lt;&gt;""),'Matched Programs'!C136,"")</f>
        <v/>
      </c>
      <c r="D157" s="38">
        <f>'Matched Programs'!X136</f>
        <v/>
      </c>
      <c r="E157" s="38">
        <f>'Matched Programs'!Y136</f>
        <v/>
      </c>
      <c r="F157" s="38">
        <f>'Matched Programs'!Z136</f>
        <v/>
      </c>
      <c r="G157" s="38">
        <f>'Matched Programs'!AD136</f>
        <v/>
      </c>
      <c r="H157" s="39">
        <f>HYPERLINK("#'Matched Programs'!B136","Go")</f>
        <v/>
      </c>
    </row>
    <row r="158" ht="15" customHeight="1">
      <c r="A158" s="34" t="inlineStr">
        <is>
          <t>Other statutes &amp; appropriations</t>
        </is>
      </c>
      <c r="B158" s="35" t="n"/>
      <c r="C158" s="35" t="n"/>
      <c r="D158" s="35" t="n"/>
      <c r="E158" s="35" t="n"/>
      <c r="F158" s="35" t="n"/>
      <c r="G158" s="35" t="n"/>
      <c r="H158" s="35" t="n"/>
    </row>
    <row r="159" ht="15" customHeight="1">
      <c r="A159" s="36" t="inlineStr">
        <is>
          <t xml:space="preserve">   Eligibility: Unclear / needs check</t>
        </is>
      </c>
      <c r="B159" s="37" t="n"/>
      <c r="C159" s="37" t="n"/>
      <c r="D159" s="37" t="n"/>
      <c r="E159" s="37" t="n"/>
      <c r="F159" s="37" t="n"/>
      <c r="G159" s="37" t="n"/>
      <c r="H159" s="37" t="n"/>
    </row>
    <row r="160" ht="27.75" customHeight="1">
      <c r="A160" s="38">
        <f>IF('Matched Programs'!B16&lt;&gt;"",'Matched Programs'!B16,'Matched Programs'!C16)</f>
        <v/>
      </c>
      <c r="B160" s="38">
        <f>IF('Matched Programs'!J16="","",'Matched Programs'!J16)</f>
        <v/>
      </c>
      <c r="C160" s="38">
        <f>IF(AND('Matched Programs'!B16&lt;&gt;"",'Matched Programs'!C16&lt;&gt;""),'Matched Programs'!C16,"")</f>
        <v/>
      </c>
      <c r="D160" s="38">
        <f>'Matched Programs'!X16</f>
        <v/>
      </c>
      <c r="E160" s="38">
        <f>'Matched Programs'!Y16</f>
        <v/>
      </c>
      <c r="F160" s="38">
        <f>'Matched Programs'!Z16</f>
        <v/>
      </c>
      <c r="G160" s="38">
        <f>'Matched Programs'!AD16</f>
        <v/>
      </c>
      <c r="H160" s="39">
        <f>HYPERLINK("#'Matched Programs'!B16","Go")</f>
        <v/>
      </c>
    </row>
    <row r="161" ht="15" customHeight="1">
      <c r="A161" s="38">
        <f>IF('Matched Programs'!B71&lt;&gt;"",'Matched Programs'!B71,'Matched Programs'!C71)</f>
        <v/>
      </c>
      <c r="B161" s="38">
        <f>IF('Matched Programs'!J71="","",'Matched Programs'!J71)</f>
        <v/>
      </c>
      <c r="C161" s="38">
        <f>IF(AND('Matched Programs'!B71&lt;&gt;"",'Matched Programs'!C71&lt;&gt;""),'Matched Programs'!C71,"")</f>
        <v/>
      </c>
      <c r="D161" s="38">
        <f>'Matched Programs'!X71</f>
        <v/>
      </c>
      <c r="E161" s="38">
        <f>'Matched Programs'!Y71</f>
        <v/>
      </c>
      <c r="F161" s="38">
        <f>'Matched Programs'!Z71</f>
        <v/>
      </c>
      <c r="G161" s="38">
        <f>'Matched Programs'!AD71</f>
        <v/>
      </c>
      <c r="H161" s="39">
        <f>HYPERLINK("#'Matched Programs'!B71","Go")</f>
        <v/>
      </c>
    </row>
    <row r="162" ht="15" customHeight="1">
      <c r="A162" s="38">
        <f>IF('Matched Programs'!B73&lt;&gt;"",'Matched Programs'!B73,'Matched Programs'!C73)</f>
        <v/>
      </c>
      <c r="B162" s="38">
        <f>IF('Matched Programs'!J73="","",'Matched Programs'!J73)</f>
        <v/>
      </c>
      <c r="C162" s="38">
        <f>IF(AND('Matched Programs'!B73&lt;&gt;"",'Matched Programs'!C73&lt;&gt;""),'Matched Programs'!C73,"")</f>
        <v/>
      </c>
      <c r="D162" s="38">
        <f>'Matched Programs'!X73</f>
        <v/>
      </c>
      <c r="E162" s="38">
        <f>'Matched Programs'!Y73</f>
        <v/>
      </c>
      <c r="F162" s="38">
        <f>'Matched Programs'!Z73</f>
        <v/>
      </c>
      <c r="G162" s="38">
        <f>'Matched Programs'!AD73</f>
        <v/>
      </c>
      <c r="H162" s="39">
        <f>HYPERLINK("#'Matched Programs'!B73","Go")</f>
        <v/>
      </c>
    </row>
    <row r="163" ht="27.75" customHeight="1">
      <c r="A163" s="38">
        <f>IF('Matched Programs'!B74&lt;&gt;"",'Matched Programs'!B74,'Matched Programs'!C74)</f>
        <v/>
      </c>
      <c r="B163" s="38">
        <f>IF('Matched Programs'!J74="","",'Matched Programs'!J74)</f>
        <v/>
      </c>
      <c r="C163" s="38">
        <f>IF(AND('Matched Programs'!B74&lt;&gt;"",'Matched Programs'!C74&lt;&gt;""),'Matched Programs'!C74,"")</f>
        <v/>
      </c>
      <c r="D163" s="38">
        <f>'Matched Programs'!X74</f>
        <v/>
      </c>
      <c r="E163" s="38">
        <f>'Matched Programs'!Y74</f>
        <v/>
      </c>
      <c r="F163" s="38">
        <f>'Matched Programs'!Z74</f>
        <v/>
      </c>
      <c r="G163" s="38">
        <f>'Matched Programs'!AD74</f>
        <v/>
      </c>
      <c r="H163" s="39">
        <f>HYPERLINK("#'Matched Programs'!B74","Go")</f>
        <v/>
      </c>
    </row>
    <row r="164" ht="27.75" customHeight="1">
      <c r="A164" s="38">
        <f>IF('Matched Programs'!B76&lt;&gt;"",'Matched Programs'!B76,'Matched Programs'!C76)</f>
        <v/>
      </c>
      <c r="B164" s="38">
        <f>IF('Matched Programs'!J76="","",'Matched Programs'!J76)</f>
        <v/>
      </c>
      <c r="C164" s="38">
        <f>IF(AND('Matched Programs'!B76&lt;&gt;"",'Matched Programs'!C76&lt;&gt;""),'Matched Programs'!C76,"")</f>
        <v/>
      </c>
      <c r="D164" s="38">
        <f>'Matched Programs'!X76</f>
        <v/>
      </c>
      <c r="E164" s="38">
        <f>'Matched Programs'!Y76</f>
        <v/>
      </c>
      <c r="F164" s="38">
        <f>'Matched Programs'!Z76</f>
        <v/>
      </c>
      <c r="G164" s="38">
        <f>'Matched Programs'!AD76</f>
        <v/>
      </c>
      <c r="H164" s="39">
        <f>HYPERLINK("#'Matched Programs'!B76","Go")</f>
        <v/>
      </c>
    </row>
    <row r="165" ht="15" customHeight="1">
      <c r="A165" s="38">
        <f>IF('Matched Programs'!B79&lt;&gt;"",'Matched Programs'!B79,'Matched Programs'!C79)</f>
        <v/>
      </c>
      <c r="B165" s="38">
        <f>IF('Matched Programs'!J79="","",'Matched Programs'!J79)</f>
        <v/>
      </c>
      <c r="C165" s="38">
        <f>IF(AND('Matched Programs'!B79&lt;&gt;"",'Matched Programs'!C79&lt;&gt;""),'Matched Programs'!C79,"")</f>
        <v/>
      </c>
      <c r="D165" s="38">
        <f>'Matched Programs'!X79</f>
        <v/>
      </c>
      <c r="E165" s="38">
        <f>'Matched Programs'!Y79</f>
        <v/>
      </c>
      <c r="F165" s="38">
        <f>'Matched Programs'!Z79</f>
        <v/>
      </c>
      <c r="G165" s="38">
        <f>'Matched Programs'!AD79</f>
        <v/>
      </c>
      <c r="H165" s="39">
        <f>HYPERLINK("#'Matched Programs'!B79","Go")</f>
        <v/>
      </c>
    </row>
    <row r="166" ht="15" customHeight="1">
      <c r="A166" s="38">
        <f>IF('Matched Programs'!B81&lt;&gt;"",'Matched Programs'!B81,'Matched Programs'!C81)</f>
        <v/>
      </c>
      <c r="B166" s="38">
        <f>IF('Matched Programs'!J81="","",'Matched Programs'!J81)</f>
        <v/>
      </c>
      <c r="C166" s="38">
        <f>IF(AND('Matched Programs'!B81&lt;&gt;"",'Matched Programs'!C81&lt;&gt;""),'Matched Programs'!C81,"")</f>
        <v/>
      </c>
      <c r="D166" s="38">
        <f>'Matched Programs'!X81</f>
        <v/>
      </c>
      <c r="E166" s="38">
        <f>'Matched Programs'!Y81</f>
        <v/>
      </c>
      <c r="F166" s="38">
        <f>'Matched Programs'!Z81</f>
        <v/>
      </c>
      <c r="G166" s="38">
        <f>'Matched Programs'!AD81</f>
        <v/>
      </c>
      <c r="H166" s="39">
        <f>HYPERLINK("#'Matched Programs'!B81","Go")</f>
        <v/>
      </c>
    </row>
    <row r="167" ht="27.75" customHeight="1">
      <c r="A167" s="38">
        <f>IF('Matched Programs'!B82&lt;&gt;"",'Matched Programs'!B82,'Matched Programs'!C82)</f>
        <v/>
      </c>
      <c r="B167" s="38">
        <f>IF('Matched Programs'!J82="","",'Matched Programs'!J82)</f>
        <v/>
      </c>
      <c r="C167" s="38">
        <f>IF(AND('Matched Programs'!B82&lt;&gt;"",'Matched Programs'!C82&lt;&gt;""),'Matched Programs'!C82,"")</f>
        <v/>
      </c>
      <c r="D167" s="38">
        <f>'Matched Programs'!X82</f>
        <v/>
      </c>
      <c r="E167" s="38">
        <f>'Matched Programs'!Y82</f>
        <v/>
      </c>
      <c r="F167" s="38">
        <f>'Matched Programs'!Z82</f>
        <v/>
      </c>
      <c r="G167" s="38">
        <f>'Matched Programs'!AD82</f>
        <v/>
      </c>
      <c r="H167" s="39">
        <f>HYPERLINK("#'Matched Programs'!B82","Go")</f>
        <v/>
      </c>
    </row>
    <row r="168" ht="27.75" customHeight="1">
      <c r="A168" s="38">
        <f>IF('Matched Programs'!B88&lt;&gt;"",'Matched Programs'!B88,'Matched Programs'!C88)</f>
        <v/>
      </c>
      <c r="B168" s="38">
        <f>IF('Matched Programs'!J88="","",'Matched Programs'!J88)</f>
        <v/>
      </c>
      <c r="C168" s="38">
        <f>IF(AND('Matched Programs'!B88&lt;&gt;"",'Matched Programs'!C88&lt;&gt;""),'Matched Programs'!C88,"")</f>
        <v/>
      </c>
      <c r="D168" s="38">
        <f>'Matched Programs'!X88</f>
        <v/>
      </c>
      <c r="E168" s="38">
        <f>'Matched Programs'!Y88</f>
        <v/>
      </c>
      <c r="F168" s="38">
        <f>'Matched Programs'!Z88</f>
        <v/>
      </c>
      <c r="G168" s="38">
        <f>'Matched Programs'!AD88</f>
        <v/>
      </c>
      <c r="H168" s="39">
        <f>HYPERLINK("#'Matched Programs'!B88","Go")</f>
        <v/>
      </c>
    </row>
    <row r="169" ht="27.75" customHeight="1">
      <c r="A169" s="38">
        <f>IF('Matched Programs'!B89&lt;&gt;"",'Matched Programs'!B89,'Matched Programs'!C89)</f>
        <v/>
      </c>
      <c r="B169" s="38">
        <f>IF('Matched Programs'!J89="","",'Matched Programs'!J89)</f>
        <v/>
      </c>
      <c r="C169" s="38">
        <f>IF(AND('Matched Programs'!B89&lt;&gt;"",'Matched Programs'!C89&lt;&gt;""),'Matched Programs'!C89,"")</f>
        <v/>
      </c>
      <c r="D169" s="38">
        <f>'Matched Programs'!X89</f>
        <v/>
      </c>
      <c r="E169" s="38">
        <f>'Matched Programs'!Y89</f>
        <v/>
      </c>
      <c r="F169" s="38">
        <f>'Matched Programs'!Z89</f>
        <v/>
      </c>
      <c r="G169" s="38">
        <f>'Matched Programs'!AD89</f>
        <v/>
      </c>
      <c r="H169" s="39">
        <f>HYPERLINK("#'Matched Programs'!B89","Go")</f>
        <v/>
      </c>
    </row>
    <row r="170" ht="27.75" customHeight="1">
      <c r="A170" s="38">
        <f>IF('Matched Programs'!B109&lt;&gt;"",'Matched Programs'!B109,'Matched Programs'!C109)</f>
        <v/>
      </c>
      <c r="B170" s="38">
        <f>IF('Matched Programs'!J109="","",'Matched Programs'!J109)</f>
        <v/>
      </c>
      <c r="C170" s="38">
        <f>IF(AND('Matched Programs'!B109&lt;&gt;"",'Matched Programs'!C109&lt;&gt;""),'Matched Programs'!C109,"")</f>
        <v/>
      </c>
      <c r="D170" s="38">
        <f>'Matched Programs'!X109</f>
        <v/>
      </c>
      <c r="E170" s="38">
        <f>'Matched Programs'!Y109</f>
        <v/>
      </c>
      <c r="F170" s="38">
        <f>'Matched Programs'!Z109</f>
        <v/>
      </c>
      <c r="G170" s="38">
        <f>'Matched Programs'!AD109</f>
        <v/>
      </c>
      <c r="H170" s="39">
        <f>HYPERLINK("#'Matched Programs'!B109","Go")</f>
        <v/>
      </c>
    </row>
    <row r="171" ht="15" customHeight="1">
      <c r="A171" s="38">
        <f>IF('Matched Programs'!B116&lt;&gt;"",'Matched Programs'!B116,'Matched Programs'!C116)</f>
        <v/>
      </c>
      <c r="B171" s="38">
        <f>IF('Matched Programs'!J116="","",'Matched Programs'!J116)</f>
        <v/>
      </c>
      <c r="C171" s="38">
        <f>IF(AND('Matched Programs'!B116&lt;&gt;"",'Matched Programs'!C116&lt;&gt;""),'Matched Programs'!C116,"")</f>
        <v/>
      </c>
      <c r="D171" s="38">
        <f>'Matched Programs'!X116</f>
        <v/>
      </c>
      <c r="E171" s="38">
        <f>'Matched Programs'!Y116</f>
        <v/>
      </c>
      <c r="F171" s="38">
        <f>'Matched Programs'!Z116</f>
        <v/>
      </c>
      <c r="G171" s="38">
        <f>'Matched Programs'!AD116</f>
        <v/>
      </c>
      <c r="H171" s="39">
        <f>HYPERLINK("#'Matched Programs'!B116","Go")</f>
        <v/>
      </c>
    </row>
    <row r="172" ht="15" customHeight="1">
      <c r="A172" s="36" t="inlineStr">
        <is>
          <t xml:space="preserve">   Eligibility: Not applicable</t>
        </is>
      </c>
      <c r="B172" s="37" t="n"/>
      <c r="C172" s="37" t="n"/>
      <c r="D172" s="37" t="n"/>
      <c r="E172" s="37" t="n"/>
      <c r="F172" s="37" t="n"/>
      <c r="G172" s="37" t="n"/>
      <c r="H172" s="37" t="n"/>
    </row>
    <row r="173" ht="27.75" customHeight="1">
      <c r="A173" s="38">
        <f>IF('Matched Programs'!B3&lt;&gt;"",'Matched Programs'!B3,'Matched Programs'!C3)</f>
        <v/>
      </c>
      <c r="B173" s="38">
        <f>IF('Matched Programs'!J3="","",'Matched Programs'!J3)</f>
        <v/>
      </c>
      <c r="C173" s="38">
        <f>IF(AND('Matched Programs'!B3&lt;&gt;"",'Matched Programs'!C3&lt;&gt;""),'Matched Programs'!C3,"")</f>
        <v/>
      </c>
      <c r="D173" s="38">
        <f>'Matched Programs'!X3</f>
        <v/>
      </c>
      <c r="E173" s="38">
        <f>'Matched Programs'!Y3</f>
        <v/>
      </c>
      <c r="F173" s="38">
        <f>'Matched Programs'!Z3</f>
        <v/>
      </c>
      <c r="G173" s="38">
        <f>'Matched Programs'!AD3</f>
        <v/>
      </c>
      <c r="H173" s="39">
        <f>HYPERLINK("#'Matched Programs'!B3","Go")</f>
        <v/>
      </c>
    </row>
    <row r="174" ht="27.75" customHeight="1">
      <c r="A174" s="38">
        <f>IF('Matched Programs'!B15&lt;&gt;"",'Matched Programs'!B15,'Matched Programs'!C15)</f>
        <v/>
      </c>
      <c r="B174" s="38">
        <f>IF('Matched Programs'!J15="","",'Matched Programs'!J15)</f>
        <v/>
      </c>
      <c r="C174" s="38">
        <f>IF(AND('Matched Programs'!B15&lt;&gt;"",'Matched Programs'!C15&lt;&gt;""),'Matched Programs'!C15,"")</f>
        <v/>
      </c>
      <c r="D174" s="38">
        <f>'Matched Programs'!X15</f>
        <v/>
      </c>
      <c r="E174" s="38">
        <f>'Matched Programs'!Y15</f>
        <v/>
      </c>
      <c r="F174" s="38">
        <f>'Matched Programs'!Z15</f>
        <v/>
      </c>
      <c r="G174" s="38">
        <f>'Matched Programs'!AD15</f>
        <v/>
      </c>
      <c r="H174" s="39">
        <f>HYPERLINK("#'Matched Programs'!B15","Go")</f>
        <v/>
      </c>
    </row>
    <row r="175" ht="27.75" customHeight="1">
      <c r="A175" s="38">
        <f>IF('Matched Programs'!B27&lt;&gt;"",'Matched Programs'!B27,'Matched Programs'!C27)</f>
        <v/>
      </c>
      <c r="B175" s="38">
        <f>IF('Matched Programs'!J27="","",'Matched Programs'!J27)</f>
        <v/>
      </c>
      <c r="C175" s="38">
        <f>IF(AND('Matched Programs'!B27&lt;&gt;"",'Matched Programs'!C27&lt;&gt;""),'Matched Programs'!C27,"")</f>
        <v/>
      </c>
      <c r="D175" s="38">
        <f>'Matched Programs'!X27</f>
        <v/>
      </c>
      <c r="E175" s="38">
        <f>'Matched Programs'!Y27</f>
        <v/>
      </c>
      <c r="F175" s="38">
        <f>'Matched Programs'!Z27</f>
        <v/>
      </c>
      <c r="G175" s="38">
        <f>'Matched Programs'!AD27</f>
        <v/>
      </c>
      <c r="H175" s="39">
        <f>HYPERLINK("#'Matched Programs'!B27","Go")</f>
        <v/>
      </c>
    </row>
    <row r="176" ht="27.75" customHeight="1">
      <c r="A176" s="38">
        <f>IF('Matched Programs'!B43&lt;&gt;"",'Matched Programs'!B43,'Matched Programs'!C43)</f>
        <v/>
      </c>
      <c r="B176" s="38">
        <f>IF('Matched Programs'!J43="","",'Matched Programs'!J43)</f>
        <v/>
      </c>
      <c r="C176" s="38">
        <f>IF(AND('Matched Programs'!B43&lt;&gt;"",'Matched Programs'!C43&lt;&gt;""),'Matched Programs'!C43,"")</f>
        <v/>
      </c>
      <c r="D176" s="38">
        <f>'Matched Programs'!X43</f>
        <v/>
      </c>
      <c r="E176" s="38">
        <f>'Matched Programs'!Y43</f>
        <v/>
      </c>
      <c r="F176" s="38">
        <f>'Matched Programs'!Z43</f>
        <v/>
      </c>
      <c r="G176" s="38">
        <f>'Matched Programs'!AD43</f>
        <v/>
      </c>
      <c r="H176" s="39">
        <f>HYPERLINK("#'Matched Programs'!B43","Go")</f>
        <v/>
      </c>
    </row>
    <row r="177" ht="27.75" customHeight="1">
      <c r="A177" s="38">
        <f>IF('Matched Programs'!B44&lt;&gt;"",'Matched Programs'!B44,'Matched Programs'!C44)</f>
        <v/>
      </c>
      <c r="B177" s="38">
        <f>IF('Matched Programs'!J44="","",'Matched Programs'!J44)</f>
        <v/>
      </c>
      <c r="C177" s="38">
        <f>IF(AND('Matched Programs'!B44&lt;&gt;"",'Matched Programs'!C44&lt;&gt;""),'Matched Programs'!C44,"")</f>
        <v/>
      </c>
      <c r="D177" s="38">
        <f>'Matched Programs'!X44</f>
        <v/>
      </c>
      <c r="E177" s="38">
        <f>'Matched Programs'!Y44</f>
        <v/>
      </c>
      <c r="F177" s="38">
        <f>'Matched Programs'!Z44</f>
        <v/>
      </c>
      <c r="G177" s="38">
        <f>'Matched Programs'!AD44</f>
        <v/>
      </c>
      <c r="H177" s="39">
        <f>HYPERLINK("#'Matched Programs'!B44","Go")</f>
        <v/>
      </c>
    </row>
    <row r="178" ht="27.75" customHeight="1">
      <c r="A178" s="38">
        <f>IF('Matched Programs'!B45&lt;&gt;"",'Matched Programs'!B45,'Matched Programs'!C45)</f>
        <v/>
      </c>
      <c r="B178" s="38">
        <f>IF('Matched Programs'!J45="","",'Matched Programs'!J45)</f>
        <v/>
      </c>
      <c r="C178" s="38">
        <f>IF(AND('Matched Programs'!B45&lt;&gt;"",'Matched Programs'!C45&lt;&gt;""),'Matched Programs'!C45,"")</f>
        <v/>
      </c>
      <c r="D178" s="38">
        <f>'Matched Programs'!X45</f>
        <v/>
      </c>
      <c r="E178" s="38">
        <f>'Matched Programs'!Y45</f>
        <v/>
      </c>
      <c r="F178" s="38">
        <f>'Matched Programs'!Z45</f>
        <v/>
      </c>
      <c r="G178" s="38">
        <f>'Matched Programs'!AD45</f>
        <v/>
      </c>
      <c r="H178" s="39">
        <f>HYPERLINK("#'Matched Programs'!B45","Go")</f>
        <v/>
      </c>
    </row>
    <row r="179" ht="27.75" customHeight="1">
      <c r="A179" s="38">
        <f>IF('Matched Programs'!B46&lt;&gt;"",'Matched Programs'!B46,'Matched Programs'!C46)</f>
        <v/>
      </c>
      <c r="B179" s="38">
        <f>IF('Matched Programs'!J46="","",'Matched Programs'!J46)</f>
        <v/>
      </c>
      <c r="C179" s="38">
        <f>IF(AND('Matched Programs'!B46&lt;&gt;"",'Matched Programs'!C46&lt;&gt;""),'Matched Programs'!C46,"")</f>
        <v/>
      </c>
      <c r="D179" s="38">
        <f>'Matched Programs'!X46</f>
        <v/>
      </c>
      <c r="E179" s="38">
        <f>'Matched Programs'!Y46</f>
        <v/>
      </c>
      <c r="F179" s="38">
        <f>'Matched Programs'!Z46</f>
        <v/>
      </c>
      <c r="G179" s="38">
        <f>'Matched Programs'!AD46</f>
        <v/>
      </c>
      <c r="H179" s="39">
        <f>HYPERLINK("#'Matched Programs'!B46","Go")</f>
        <v/>
      </c>
    </row>
    <row r="180" ht="27.75" customHeight="1">
      <c r="A180" s="38">
        <f>IF('Matched Programs'!B63&lt;&gt;"",'Matched Programs'!B63,'Matched Programs'!C63)</f>
        <v/>
      </c>
      <c r="B180" s="38">
        <f>IF('Matched Programs'!J63="","",'Matched Programs'!J63)</f>
        <v/>
      </c>
      <c r="C180" s="38">
        <f>IF(AND('Matched Programs'!B63&lt;&gt;"",'Matched Programs'!C63&lt;&gt;""),'Matched Programs'!C63,"")</f>
        <v/>
      </c>
      <c r="D180" s="38">
        <f>'Matched Programs'!X63</f>
        <v/>
      </c>
      <c r="E180" s="38">
        <f>'Matched Programs'!Y63</f>
        <v/>
      </c>
      <c r="F180" s="38">
        <f>'Matched Programs'!Z63</f>
        <v/>
      </c>
      <c r="G180" s="38">
        <f>'Matched Programs'!AD63</f>
        <v/>
      </c>
      <c r="H180" s="39">
        <f>HYPERLINK("#'Matched Programs'!B63","Go")</f>
        <v/>
      </c>
    </row>
    <row r="181" ht="27.75" customHeight="1">
      <c r="A181" s="38">
        <f>IF('Matched Programs'!B64&lt;&gt;"",'Matched Programs'!B64,'Matched Programs'!C64)</f>
        <v/>
      </c>
      <c r="B181" s="38">
        <f>IF('Matched Programs'!J64="","",'Matched Programs'!J64)</f>
        <v/>
      </c>
      <c r="C181" s="38">
        <f>IF(AND('Matched Programs'!B64&lt;&gt;"",'Matched Programs'!C64&lt;&gt;""),'Matched Programs'!C64,"")</f>
        <v/>
      </c>
      <c r="D181" s="38">
        <f>'Matched Programs'!X64</f>
        <v/>
      </c>
      <c r="E181" s="38">
        <f>'Matched Programs'!Y64</f>
        <v/>
      </c>
      <c r="F181" s="38">
        <f>'Matched Programs'!Z64</f>
        <v/>
      </c>
      <c r="G181" s="38">
        <f>'Matched Programs'!AD64</f>
        <v/>
      </c>
      <c r="H181" s="39">
        <f>HYPERLINK("#'Matched Programs'!B64","Go")</f>
        <v/>
      </c>
    </row>
    <row r="182" ht="27.75" customHeight="1">
      <c r="A182" s="38">
        <f>IF('Matched Programs'!B65&lt;&gt;"",'Matched Programs'!B65,'Matched Programs'!C65)</f>
        <v/>
      </c>
      <c r="B182" s="38">
        <f>IF('Matched Programs'!J65="","",'Matched Programs'!J65)</f>
        <v/>
      </c>
      <c r="C182" s="38">
        <f>IF(AND('Matched Programs'!B65&lt;&gt;"",'Matched Programs'!C65&lt;&gt;""),'Matched Programs'!C65,"")</f>
        <v/>
      </c>
      <c r="D182" s="38">
        <f>'Matched Programs'!X65</f>
        <v/>
      </c>
      <c r="E182" s="38">
        <f>'Matched Programs'!Y65</f>
        <v/>
      </c>
      <c r="F182" s="38">
        <f>'Matched Programs'!Z65</f>
        <v/>
      </c>
      <c r="G182" s="38">
        <f>'Matched Programs'!AD65</f>
        <v/>
      </c>
      <c r="H182" s="39">
        <f>HYPERLINK("#'Matched Programs'!B65","Go")</f>
        <v/>
      </c>
    </row>
    <row r="183" ht="27.75" customHeight="1">
      <c r="A183" s="38">
        <f>IF('Matched Programs'!B66&lt;&gt;"",'Matched Programs'!B66,'Matched Programs'!C66)</f>
        <v/>
      </c>
      <c r="B183" s="38">
        <f>IF('Matched Programs'!J66="","",'Matched Programs'!J66)</f>
        <v/>
      </c>
      <c r="C183" s="38">
        <f>IF(AND('Matched Programs'!B66&lt;&gt;"",'Matched Programs'!C66&lt;&gt;""),'Matched Programs'!C66,"")</f>
        <v/>
      </c>
      <c r="D183" s="38">
        <f>'Matched Programs'!X66</f>
        <v/>
      </c>
      <c r="E183" s="38">
        <f>'Matched Programs'!Y66</f>
        <v/>
      </c>
      <c r="F183" s="38">
        <f>'Matched Programs'!Z66</f>
        <v/>
      </c>
      <c r="G183" s="38">
        <f>'Matched Programs'!AD66</f>
        <v/>
      </c>
      <c r="H183" s="39">
        <f>HYPERLINK("#'Matched Programs'!B66","Go")</f>
        <v/>
      </c>
    </row>
    <row r="184" ht="27.75" customHeight="1">
      <c r="A184" s="38">
        <f>IF('Matched Programs'!B67&lt;&gt;"",'Matched Programs'!B67,'Matched Programs'!C67)</f>
        <v/>
      </c>
      <c r="B184" s="38">
        <f>IF('Matched Programs'!J67="","",'Matched Programs'!J67)</f>
        <v/>
      </c>
      <c r="C184" s="38">
        <f>IF(AND('Matched Programs'!B67&lt;&gt;"",'Matched Programs'!C67&lt;&gt;""),'Matched Programs'!C67,"")</f>
        <v/>
      </c>
      <c r="D184" s="38">
        <f>'Matched Programs'!X67</f>
        <v/>
      </c>
      <c r="E184" s="38">
        <f>'Matched Programs'!Y67</f>
        <v/>
      </c>
      <c r="F184" s="38">
        <f>'Matched Programs'!Z67</f>
        <v/>
      </c>
      <c r="G184" s="38">
        <f>'Matched Programs'!AD67</f>
        <v/>
      </c>
      <c r="H184" s="39">
        <f>HYPERLINK("#'Matched Programs'!B67","Go")</f>
        <v/>
      </c>
    </row>
    <row r="185" ht="27.75" customHeight="1">
      <c r="A185" s="38">
        <f>IF('Matched Programs'!B68&lt;&gt;"",'Matched Programs'!B68,'Matched Programs'!C68)</f>
        <v/>
      </c>
      <c r="B185" s="38">
        <f>IF('Matched Programs'!J68="","",'Matched Programs'!J68)</f>
        <v/>
      </c>
      <c r="C185" s="38">
        <f>IF(AND('Matched Programs'!B68&lt;&gt;"",'Matched Programs'!C68&lt;&gt;""),'Matched Programs'!C68,"")</f>
        <v/>
      </c>
      <c r="D185" s="38">
        <f>'Matched Programs'!X68</f>
        <v/>
      </c>
      <c r="E185" s="38">
        <f>'Matched Programs'!Y68</f>
        <v/>
      </c>
      <c r="F185" s="38">
        <f>'Matched Programs'!Z68</f>
        <v/>
      </c>
      <c r="G185" s="38">
        <f>'Matched Programs'!AD68</f>
        <v/>
      </c>
      <c r="H185" s="39">
        <f>HYPERLINK("#'Matched Programs'!B68","Go")</f>
        <v/>
      </c>
    </row>
    <row r="186" ht="27.75" customHeight="1">
      <c r="A186" s="38">
        <f>IF('Matched Programs'!B69&lt;&gt;"",'Matched Programs'!B69,'Matched Programs'!C69)</f>
        <v/>
      </c>
      <c r="B186" s="38">
        <f>IF('Matched Programs'!J69="","",'Matched Programs'!J69)</f>
        <v/>
      </c>
      <c r="C186" s="38">
        <f>IF(AND('Matched Programs'!B69&lt;&gt;"",'Matched Programs'!C69&lt;&gt;""),'Matched Programs'!C69,"")</f>
        <v/>
      </c>
      <c r="D186" s="38">
        <f>'Matched Programs'!X69</f>
        <v/>
      </c>
      <c r="E186" s="38">
        <f>'Matched Programs'!Y69</f>
        <v/>
      </c>
      <c r="F186" s="38">
        <f>'Matched Programs'!Z69</f>
        <v/>
      </c>
      <c r="G186" s="38">
        <f>'Matched Programs'!AD69</f>
        <v/>
      </c>
      <c r="H186" s="39">
        <f>HYPERLINK("#'Matched Programs'!B69","Go")</f>
        <v/>
      </c>
    </row>
    <row r="187" ht="27.75" customHeight="1">
      <c r="A187" s="38">
        <f>IF('Matched Programs'!B70&lt;&gt;"",'Matched Programs'!B70,'Matched Programs'!C70)</f>
        <v/>
      </c>
      <c r="B187" s="38">
        <f>IF('Matched Programs'!J70="","",'Matched Programs'!J70)</f>
        <v/>
      </c>
      <c r="C187" s="38">
        <f>IF(AND('Matched Programs'!B70&lt;&gt;"",'Matched Programs'!C70&lt;&gt;""),'Matched Programs'!C70,"")</f>
        <v/>
      </c>
      <c r="D187" s="38">
        <f>'Matched Programs'!X70</f>
        <v/>
      </c>
      <c r="E187" s="38">
        <f>'Matched Programs'!Y70</f>
        <v/>
      </c>
      <c r="F187" s="38">
        <f>'Matched Programs'!Z70</f>
        <v/>
      </c>
      <c r="G187" s="38">
        <f>'Matched Programs'!AD70</f>
        <v/>
      </c>
      <c r="H187" s="39">
        <f>HYPERLINK("#'Matched Programs'!B70","Go")</f>
        <v/>
      </c>
    </row>
    <row r="188" ht="27.75" customHeight="1">
      <c r="A188" s="38">
        <f>IF('Matched Programs'!B75&lt;&gt;"",'Matched Programs'!B75,'Matched Programs'!C75)</f>
        <v/>
      </c>
      <c r="B188" s="38">
        <f>IF('Matched Programs'!J75="","",'Matched Programs'!J75)</f>
        <v/>
      </c>
      <c r="C188" s="38">
        <f>IF(AND('Matched Programs'!B75&lt;&gt;"",'Matched Programs'!C75&lt;&gt;""),'Matched Programs'!C75,"")</f>
        <v/>
      </c>
      <c r="D188" s="38">
        <f>'Matched Programs'!X75</f>
        <v/>
      </c>
      <c r="E188" s="38">
        <f>'Matched Programs'!Y75</f>
        <v/>
      </c>
      <c r="F188" s="38">
        <f>'Matched Programs'!Z75</f>
        <v/>
      </c>
      <c r="G188" s="38">
        <f>'Matched Programs'!AD75</f>
        <v/>
      </c>
      <c r="H188" s="39">
        <f>HYPERLINK("#'Matched Programs'!B75","Go")</f>
        <v/>
      </c>
    </row>
    <row r="189" ht="27.75" customHeight="1">
      <c r="A189" s="38">
        <f>IF('Matched Programs'!B77&lt;&gt;"",'Matched Programs'!B77,'Matched Programs'!C77)</f>
        <v/>
      </c>
      <c r="B189" s="38">
        <f>IF('Matched Programs'!J77="","",'Matched Programs'!J77)</f>
        <v/>
      </c>
      <c r="C189" s="38">
        <f>IF(AND('Matched Programs'!B77&lt;&gt;"",'Matched Programs'!C77&lt;&gt;""),'Matched Programs'!C77,"")</f>
        <v/>
      </c>
      <c r="D189" s="38">
        <f>'Matched Programs'!X77</f>
        <v/>
      </c>
      <c r="E189" s="38">
        <f>'Matched Programs'!Y77</f>
        <v/>
      </c>
      <c r="F189" s="38">
        <f>'Matched Programs'!Z77</f>
        <v/>
      </c>
      <c r="G189" s="38">
        <f>'Matched Programs'!AD77</f>
        <v/>
      </c>
      <c r="H189" s="39">
        <f>HYPERLINK("#'Matched Programs'!B77","Go")</f>
        <v/>
      </c>
    </row>
    <row r="190" ht="27.75" customHeight="1">
      <c r="A190" s="38">
        <f>IF('Matched Programs'!B78&lt;&gt;"",'Matched Programs'!B78,'Matched Programs'!C78)</f>
        <v/>
      </c>
      <c r="B190" s="38">
        <f>IF('Matched Programs'!J78="","",'Matched Programs'!J78)</f>
        <v/>
      </c>
      <c r="C190" s="38">
        <f>IF(AND('Matched Programs'!B78&lt;&gt;"",'Matched Programs'!C78&lt;&gt;""),'Matched Programs'!C78,"")</f>
        <v/>
      </c>
      <c r="D190" s="38">
        <f>'Matched Programs'!X78</f>
        <v/>
      </c>
      <c r="E190" s="38">
        <f>'Matched Programs'!Y78</f>
        <v/>
      </c>
      <c r="F190" s="38">
        <f>'Matched Programs'!Z78</f>
        <v/>
      </c>
      <c r="G190" s="38">
        <f>'Matched Programs'!AD78</f>
        <v/>
      </c>
      <c r="H190" s="39">
        <f>HYPERLINK("#'Matched Programs'!B78","Go")</f>
        <v/>
      </c>
    </row>
    <row r="191" ht="27.75" customHeight="1">
      <c r="A191" s="38">
        <f>IF('Matched Programs'!B85&lt;&gt;"",'Matched Programs'!B85,'Matched Programs'!C85)</f>
        <v/>
      </c>
      <c r="B191" s="38">
        <f>IF('Matched Programs'!J85="","",'Matched Programs'!J85)</f>
        <v/>
      </c>
      <c r="C191" s="38">
        <f>IF(AND('Matched Programs'!B85&lt;&gt;"",'Matched Programs'!C85&lt;&gt;""),'Matched Programs'!C85,"")</f>
        <v/>
      </c>
      <c r="D191" s="38">
        <f>'Matched Programs'!X85</f>
        <v/>
      </c>
      <c r="E191" s="38">
        <f>'Matched Programs'!Y85</f>
        <v/>
      </c>
      <c r="F191" s="38">
        <f>'Matched Programs'!Z85</f>
        <v/>
      </c>
      <c r="G191" s="38">
        <f>'Matched Programs'!AD85</f>
        <v/>
      </c>
      <c r="H191" s="39">
        <f>HYPERLINK("#'Matched Programs'!B85","Go")</f>
        <v/>
      </c>
    </row>
    <row r="192" ht="27.75" customHeight="1">
      <c r="A192" s="38">
        <f>IF('Matched Programs'!B91&lt;&gt;"",'Matched Programs'!B91,'Matched Programs'!C91)</f>
        <v/>
      </c>
      <c r="B192" s="38">
        <f>IF('Matched Programs'!J91="","",'Matched Programs'!J91)</f>
        <v/>
      </c>
      <c r="C192" s="38">
        <f>IF(AND('Matched Programs'!B91&lt;&gt;"",'Matched Programs'!C91&lt;&gt;""),'Matched Programs'!C91,"")</f>
        <v/>
      </c>
      <c r="D192" s="38">
        <f>'Matched Programs'!X91</f>
        <v/>
      </c>
      <c r="E192" s="38">
        <f>'Matched Programs'!Y91</f>
        <v/>
      </c>
      <c r="F192" s="38">
        <f>'Matched Programs'!Z91</f>
        <v/>
      </c>
      <c r="G192" s="38">
        <f>'Matched Programs'!AD91</f>
        <v/>
      </c>
      <c r="H192" s="39">
        <f>HYPERLINK("#'Matched Programs'!B91","Go")</f>
        <v/>
      </c>
    </row>
    <row r="193" ht="27.75" customHeight="1">
      <c r="A193" s="38">
        <f>IF('Matched Programs'!B92&lt;&gt;"",'Matched Programs'!B92,'Matched Programs'!C92)</f>
        <v/>
      </c>
      <c r="B193" s="38">
        <f>IF('Matched Programs'!J92="","",'Matched Programs'!J92)</f>
        <v/>
      </c>
      <c r="C193" s="38">
        <f>IF(AND('Matched Programs'!B92&lt;&gt;"",'Matched Programs'!C92&lt;&gt;""),'Matched Programs'!C92,"")</f>
        <v/>
      </c>
      <c r="D193" s="38">
        <f>'Matched Programs'!X92</f>
        <v/>
      </c>
      <c r="E193" s="38">
        <f>'Matched Programs'!Y92</f>
        <v/>
      </c>
      <c r="F193" s="38">
        <f>'Matched Programs'!Z92</f>
        <v/>
      </c>
      <c r="G193" s="38">
        <f>'Matched Programs'!AD92</f>
        <v/>
      </c>
      <c r="H193" s="39">
        <f>HYPERLINK("#'Matched Programs'!B92","Go")</f>
        <v/>
      </c>
    </row>
    <row r="194" ht="27.75" customHeight="1">
      <c r="A194" s="38">
        <f>IF('Matched Programs'!B93&lt;&gt;"",'Matched Programs'!B93,'Matched Programs'!C93)</f>
        <v/>
      </c>
      <c r="B194" s="38">
        <f>IF('Matched Programs'!J93="","",'Matched Programs'!J93)</f>
        <v/>
      </c>
      <c r="C194" s="38">
        <f>IF(AND('Matched Programs'!B93&lt;&gt;"",'Matched Programs'!C93&lt;&gt;""),'Matched Programs'!C93,"")</f>
        <v/>
      </c>
      <c r="D194" s="38">
        <f>'Matched Programs'!X93</f>
        <v/>
      </c>
      <c r="E194" s="38">
        <f>'Matched Programs'!Y93</f>
        <v/>
      </c>
      <c r="F194" s="38">
        <f>'Matched Programs'!Z93</f>
        <v/>
      </c>
      <c r="G194" s="38">
        <f>'Matched Programs'!AD93</f>
        <v/>
      </c>
      <c r="H194" s="39">
        <f>HYPERLINK("#'Matched Programs'!B93","Go")</f>
        <v/>
      </c>
    </row>
    <row r="195" ht="27.75" customHeight="1">
      <c r="A195" s="38">
        <f>IF('Matched Programs'!B100&lt;&gt;"",'Matched Programs'!B100,'Matched Programs'!C100)</f>
        <v/>
      </c>
      <c r="B195" s="38">
        <f>IF('Matched Programs'!J100="","",'Matched Programs'!J100)</f>
        <v/>
      </c>
      <c r="C195" s="38">
        <f>IF(AND('Matched Programs'!B100&lt;&gt;"",'Matched Programs'!C100&lt;&gt;""),'Matched Programs'!C100,"")</f>
        <v/>
      </c>
      <c r="D195" s="38">
        <f>'Matched Programs'!X100</f>
        <v/>
      </c>
      <c r="E195" s="38">
        <f>'Matched Programs'!Y100</f>
        <v/>
      </c>
      <c r="F195" s="38">
        <f>'Matched Programs'!Z100</f>
        <v/>
      </c>
      <c r="G195" s="38">
        <f>'Matched Programs'!AD100</f>
        <v/>
      </c>
      <c r="H195" s="39">
        <f>HYPERLINK("#'Matched Programs'!B100","Go")</f>
        <v/>
      </c>
    </row>
    <row r="196" ht="27.75" customHeight="1">
      <c r="A196" s="38">
        <f>IF('Matched Programs'!B101&lt;&gt;"",'Matched Programs'!B101,'Matched Programs'!C101)</f>
        <v/>
      </c>
      <c r="B196" s="38">
        <f>IF('Matched Programs'!J101="","",'Matched Programs'!J101)</f>
        <v/>
      </c>
      <c r="C196" s="38">
        <f>IF(AND('Matched Programs'!B101&lt;&gt;"",'Matched Programs'!C101&lt;&gt;""),'Matched Programs'!C101,"")</f>
        <v/>
      </c>
      <c r="D196" s="38">
        <f>'Matched Programs'!X101</f>
        <v/>
      </c>
      <c r="E196" s="38">
        <f>'Matched Programs'!Y101</f>
        <v/>
      </c>
      <c r="F196" s="38">
        <f>'Matched Programs'!Z101</f>
        <v/>
      </c>
      <c r="G196" s="38">
        <f>'Matched Programs'!AD101</f>
        <v/>
      </c>
      <c r="H196" s="39">
        <f>HYPERLINK("#'Matched Programs'!B101","Go")</f>
        <v/>
      </c>
    </row>
    <row r="197" ht="54.75" customHeight="1">
      <c r="A197" s="38">
        <f>IF('Matched Programs'!B104&lt;&gt;"",'Matched Programs'!B104,'Matched Programs'!C104)</f>
        <v/>
      </c>
      <c r="B197" s="38">
        <f>IF('Matched Programs'!J104="","",'Matched Programs'!J104)</f>
        <v/>
      </c>
      <c r="C197" s="38">
        <f>IF(AND('Matched Programs'!B104&lt;&gt;"",'Matched Programs'!C104&lt;&gt;""),'Matched Programs'!C104,"")</f>
        <v/>
      </c>
      <c r="D197" s="38">
        <f>'Matched Programs'!X104</f>
        <v/>
      </c>
      <c r="E197" s="38">
        <f>'Matched Programs'!Y104</f>
        <v/>
      </c>
      <c r="F197" s="38">
        <f>'Matched Programs'!Z104</f>
        <v/>
      </c>
      <c r="G197" s="38">
        <f>'Matched Programs'!AD104</f>
        <v/>
      </c>
      <c r="H197" s="39">
        <f>HYPERLINK("#'Matched Programs'!B104","Go")</f>
        <v/>
      </c>
    </row>
    <row r="198" ht="27.75" customHeight="1">
      <c r="A198" s="38">
        <f>IF('Matched Programs'!B105&lt;&gt;"",'Matched Programs'!B105,'Matched Programs'!C105)</f>
        <v/>
      </c>
      <c r="B198" s="38">
        <f>IF('Matched Programs'!J105="","",'Matched Programs'!J105)</f>
        <v/>
      </c>
      <c r="C198" s="38">
        <f>IF(AND('Matched Programs'!B105&lt;&gt;"",'Matched Programs'!C105&lt;&gt;""),'Matched Programs'!C105,"")</f>
        <v/>
      </c>
      <c r="D198" s="38">
        <f>'Matched Programs'!X105</f>
        <v/>
      </c>
      <c r="E198" s="38">
        <f>'Matched Programs'!Y105</f>
        <v/>
      </c>
      <c r="F198" s="38">
        <f>'Matched Programs'!Z105</f>
        <v/>
      </c>
      <c r="G198" s="38">
        <f>'Matched Programs'!AD105</f>
        <v/>
      </c>
      <c r="H198" s="39">
        <f>HYPERLINK("#'Matched Programs'!B105","Go")</f>
        <v/>
      </c>
    </row>
    <row r="199" ht="27.75" customHeight="1">
      <c r="A199" s="38">
        <f>IF('Matched Programs'!B106&lt;&gt;"",'Matched Programs'!B106,'Matched Programs'!C106)</f>
        <v/>
      </c>
      <c r="B199" s="38">
        <f>IF('Matched Programs'!J106="","",'Matched Programs'!J106)</f>
        <v/>
      </c>
      <c r="C199" s="38">
        <f>IF(AND('Matched Programs'!B106&lt;&gt;"",'Matched Programs'!C106&lt;&gt;""),'Matched Programs'!C106,"")</f>
        <v/>
      </c>
      <c r="D199" s="38">
        <f>'Matched Programs'!X106</f>
        <v/>
      </c>
      <c r="E199" s="38">
        <f>'Matched Programs'!Y106</f>
        <v/>
      </c>
      <c r="F199" s="38">
        <f>'Matched Programs'!Z106</f>
        <v/>
      </c>
      <c r="G199" s="38">
        <f>'Matched Programs'!AD106</f>
        <v/>
      </c>
      <c r="H199" s="39">
        <f>HYPERLINK("#'Matched Programs'!B106","Go")</f>
        <v/>
      </c>
    </row>
    <row r="200" ht="27.75" customHeight="1">
      <c r="A200" s="38">
        <f>IF('Matched Programs'!B107&lt;&gt;"",'Matched Programs'!B107,'Matched Programs'!C107)</f>
        <v/>
      </c>
      <c r="B200" s="38">
        <f>IF('Matched Programs'!J107="","",'Matched Programs'!J107)</f>
        <v/>
      </c>
      <c r="C200" s="38">
        <f>IF(AND('Matched Programs'!B107&lt;&gt;"",'Matched Programs'!C107&lt;&gt;""),'Matched Programs'!C107,"")</f>
        <v/>
      </c>
      <c r="D200" s="38">
        <f>'Matched Programs'!X107</f>
        <v/>
      </c>
      <c r="E200" s="38">
        <f>'Matched Programs'!Y107</f>
        <v/>
      </c>
      <c r="F200" s="38">
        <f>'Matched Programs'!Z107</f>
        <v/>
      </c>
      <c r="G200" s="38">
        <f>'Matched Programs'!AD107</f>
        <v/>
      </c>
      <c r="H200" s="39">
        <f>HYPERLINK("#'Matched Programs'!B107","Go")</f>
        <v/>
      </c>
    </row>
    <row r="201" ht="27.75" customHeight="1">
      <c r="A201" s="38">
        <f>IF('Matched Programs'!B108&lt;&gt;"",'Matched Programs'!B108,'Matched Programs'!C108)</f>
        <v/>
      </c>
      <c r="B201" s="38">
        <f>IF('Matched Programs'!J108="","",'Matched Programs'!J108)</f>
        <v/>
      </c>
      <c r="C201" s="38">
        <f>IF(AND('Matched Programs'!B108&lt;&gt;"",'Matched Programs'!C108&lt;&gt;""),'Matched Programs'!C108,"")</f>
        <v/>
      </c>
      <c r="D201" s="38">
        <f>'Matched Programs'!X108</f>
        <v/>
      </c>
      <c r="E201" s="38">
        <f>'Matched Programs'!Y108</f>
        <v/>
      </c>
      <c r="F201" s="38">
        <f>'Matched Programs'!Z108</f>
        <v/>
      </c>
      <c r="G201" s="38">
        <f>'Matched Programs'!AD108</f>
        <v/>
      </c>
      <c r="H201" s="39">
        <f>HYPERLINK("#'Matched Programs'!B108","Go")</f>
        <v/>
      </c>
    </row>
    <row r="202" ht="27.75" customHeight="1">
      <c r="A202" s="38">
        <f>IF('Matched Programs'!B117&lt;&gt;"",'Matched Programs'!B117,'Matched Programs'!C117)</f>
        <v/>
      </c>
      <c r="B202" s="38">
        <f>IF('Matched Programs'!J117="","",'Matched Programs'!J117)</f>
        <v/>
      </c>
      <c r="C202" s="38">
        <f>IF(AND('Matched Programs'!B117&lt;&gt;"",'Matched Programs'!C117&lt;&gt;""),'Matched Programs'!C117,"")</f>
        <v/>
      </c>
      <c r="D202" s="38">
        <f>'Matched Programs'!X117</f>
        <v/>
      </c>
      <c r="E202" s="38">
        <f>'Matched Programs'!Y117</f>
        <v/>
      </c>
      <c r="F202" s="38">
        <f>'Matched Programs'!Z117</f>
        <v/>
      </c>
      <c r="G202" s="38">
        <f>'Matched Programs'!AD117</f>
        <v/>
      </c>
      <c r="H202" s="39">
        <f>HYPERLINK("#'Matched Programs'!B117","Go")</f>
        <v/>
      </c>
    </row>
    <row r="203" ht="27.75" customHeight="1">
      <c r="A203" s="38">
        <f>IF('Matched Programs'!B118&lt;&gt;"",'Matched Programs'!B118,'Matched Programs'!C118)</f>
        <v/>
      </c>
      <c r="B203" s="38">
        <f>IF('Matched Programs'!J118="","",'Matched Programs'!J118)</f>
        <v/>
      </c>
      <c r="C203" s="38">
        <f>IF(AND('Matched Programs'!B118&lt;&gt;"",'Matched Programs'!C118&lt;&gt;""),'Matched Programs'!C118,"")</f>
        <v/>
      </c>
      <c r="D203" s="38">
        <f>'Matched Programs'!X118</f>
        <v/>
      </c>
      <c r="E203" s="38">
        <f>'Matched Programs'!Y118</f>
        <v/>
      </c>
      <c r="F203" s="38">
        <f>'Matched Programs'!Z118</f>
        <v/>
      </c>
      <c r="G203" s="38">
        <f>'Matched Programs'!AD118</f>
        <v/>
      </c>
      <c r="H203" s="39">
        <f>HYPERLINK("#'Matched Programs'!B118","Go")</f>
        <v/>
      </c>
    </row>
    <row r="204" ht="27.75" customHeight="1">
      <c r="A204" s="38">
        <f>IF('Matched Programs'!B119&lt;&gt;"",'Matched Programs'!B119,'Matched Programs'!C119)</f>
        <v/>
      </c>
      <c r="B204" s="38">
        <f>IF('Matched Programs'!J119="","",'Matched Programs'!J119)</f>
        <v/>
      </c>
      <c r="C204" s="38">
        <f>IF(AND('Matched Programs'!B119&lt;&gt;"",'Matched Programs'!C119&lt;&gt;""),'Matched Programs'!C119,"")</f>
        <v/>
      </c>
      <c r="D204" s="38">
        <f>'Matched Programs'!X119</f>
        <v/>
      </c>
      <c r="E204" s="38">
        <f>'Matched Programs'!Y119</f>
        <v/>
      </c>
      <c r="F204" s="38">
        <f>'Matched Programs'!Z119</f>
        <v/>
      </c>
      <c r="G204" s="38">
        <f>'Matched Programs'!AD119</f>
        <v/>
      </c>
      <c r="H204" s="39">
        <f>HYPERLINK("#'Matched Programs'!B119","Go")</f>
        <v/>
      </c>
    </row>
    <row r="205" ht="27.75" customHeight="1">
      <c r="A205" s="38">
        <f>IF('Matched Programs'!B123&lt;&gt;"",'Matched Programs'!B123,'Matched Programs'!C123)</f>
        <v/>
      </c>
      <c r="B205" s="38">
        <f>IF('Matched Programs'!J123="","",'Matched Programs'!J123)</f>
        <v/>
      </c>
      <c r="C205" s="38">
        <f>IF(AND('Matched Programs'!B123&lt;&gt;"",'Matched Programs'!C123&lt;&gt;""),'Matched Programs'!C123,"")</f>
        <v/>
      </c>
      <c r="D205" s="38">
        <f>'Matched Programs'!X123</f>
        <v/>
      </c>
      <c r="E205" s="38">
        <f>'Matched Programs'!Y123</f>
        <v/>
      </c>
      <c r="F205" s="38">
        <f>'Matched Programs'!Z123</f>
        <v/>
      </c>
      <c r="G205" s="38">
        <f>'Matched Programs'!AD123</f>
        <v/>
      </c>
      <c r="H205" s="39">
        <f>HYPERLINK("#'Matched Programs'!B123","Go")</f>
        <v/>
      </c>
    </row>
    <row r="206" ht="27.75" customHeight="1">
      <c r="A206" s="38">
        <f>IF('Matched Programs'!B135&lt;&gt;"",'Matched Programs'!B135,'Matched Programs'!C135)</f>
        <v/>
      </c>
      <c r="B206" s="38">
        <f>IF('Matched Programs'!J135="","",'Matched Programs'!J135)</f>
        <v/>
      </c>
      <c r="C206" s="38">
        <f>IF(AND('Matched Programs'!B135&lt;&gt;"",'Matched Programs'!C135&lt;&gt;""),'Matched Programs'!C135,"")</f>
        <v/>
      </c>
      <c r="D206" s="38">
        <f>'Matched Programs'!X135</f>
        <v/>
      </c>
      <c r="E206" s="38">
        <f>'Matched Programs'!Y135</f>
        <v/>
      </c>
      <c r="F206" s="38">
        <f>'Matched Programs'!Z135</f>
        <v/>
      </c>
      <c r="G206" s="38">
        <f>'Matched Programs'!AD135</f>
        <v/>
      </c>
      <c r="H206" s="39">
        <f>HYPERLINK("#'Matched Programs'!B135","Go")</f>
        <v/>
      </c>
    </row>
  </sheetData>
  <mergeCells count="8">
    <mergeCell ref="C29:G29"/>
    <mergeCell ref="C30:G30"/>
    <mergeCell ref="C34:G34"/>
    <mergeCell ref="C32:G32"/>
    <mergeCell ref="A38:H38"/>
    <mergeCell ref="A2:H2"/>
    <mergeCell ref="C33:G33"/>
    <mergeCell ref="C31:G3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I126"/>
  <sheetViews>
    <sheetView tabSelected="0" zoomScale="80" zoomScaleNormal="80" workbookViewId="0">
      <pane xSplit="1" ySplit="1" topLeftCell="B51" activePane="bottomRight" state="frozen"/>
      <selection pane="topRight" activeCell="B1" sqref="B1"/>
      <selection pane="bottomLeft" activeCell="A2" sqref="A2"/>
      <selection pane="bottomRight" activeCell="A1" sqref="A1"/>
    </sheetView>
  </sheetViews>
  <sheetFormatPr baseColWidth="8" defaultColWidth="8.6640625" defaultRowHeight="14.4"/>
  <cols>
    <col width="46" customWidth="1" min="1" max="1"/>
    <col width="14" customWidth="1" min="2" max="2"/>
    <col width="30" customWidth="1" min="3" max="3"/>
    <col width="95" customWidth="1" min="4" max="4"/>
    <col width="3" customWidth="1" min="5" max="5"/>
    <col width="40" customWidth="1" min="6" max="6"/>
    <col width="13" customWidth="1" min="7" max="7"/>
    <col width="8" customWidth="1" min="8" max="8"/>
    <col width="75" customWidth="1" min="9" max="9"/>
  </cols>
  <sheetData>
    <row r="1" ht="31.5" customHeight="1">
      <c r="A1" s="40" t="inlineStr">
        <is>
          <t xml:space="preserve"> </t>
        </is>
      </c>
      <c r="B1" s="40" t="inlineStr">
        <is>
          <t>Determination</t>
        </is>
      </c>
      <c r="C1" s="40" t="inlineStr">
        <is>
          <t>Basis (scope criterion)</t>
        </is>
      </c>
      <c r="D1" s="40" t="inlineStr">
        <is>
          <t>Documentary source</t>
        </is>
      </c>
      <c r="F1" s="40" t="inlineStr">
        <is>
          <t>Basis (scope criterion)</t>
        </is>
      </c>
      <c r="G1" s="40" t="inlineStr">
        <is>
          <t>Determination</t>
        </is>
      </c>
      <c r="H1" s="40" t="inlineStr">
        <is>
          <t>Rows</t>
        </is>
      </c>
      <c r="I1" s="40" t="inlineStr">
        <is>
          <t>What it means</t>
        </is>
      </c>
    </row>
    <row r="2" ht="19.5" customHeight="1">
      <c r="A2" s="41" t="inlineStr">
        <is>
          <t>PROGRAMS OF HUD 2025 — all 102 catalog entries, in catalog order</t>
        </is>
      </c>
      <c r="B2" s="42" t="n"/>
      <c r="C2" s="42" t="n"/>
      <c r="D2" s="42" t="n"/>
      <c r="F2" s="5" t="inlineStr">
        <is>
          <t>Scope criteria. Each row's Basis must be one of these; a red Determination cell means the two disagree.</t>
        </is>
      </c>
    </row>
    <row r="3" ht="48" customHeight="1">
      <c r="A3" s="43" t="inlineStr">
        <is>
          <t>The Violence Against Women Act (VAWA)</t>
        </is>
      </c>
      <c r="B3" s="44" t="inlineStr">
        <is>
          <t>Exclude</t>
        </is>
      </c>
      <c r="C3" s="43" t="inlineStr">
        <is>
          <t>X2 – Regulatory or civil-rights requirement</t>
        </is>
      </c>
      <c r="D3" s="43" t="inlineStr">
        <is>
          <t>34 U.S.C. 12491–12496; 24 CFR part 5, subpart L — housing protections for survivors that apply inside covered HUD programs. VAWA provides no assistance of its own and has no eligibility test.</t>
        </is>
      </c>
      <c r="F3" s="45" t="inlineStr">
        <is>
          <t>I – Household income eligibility test</t>
        </is>
      </c>
      <c r="G3" s="46" t="inlineStr">
        <is>
          <t>Include</t>
        </is>
      </c>
      <c r="H3" s="47">
        <f>COUNTIF($C$3:$C$126,F3)</f>
        <v/>
      </c>
      <c r="I3" s="46" t="inlineStr">
        <is>
          <t>A HUD-set income limit (statute, regulation, notice, or NOFO) conditions assistance to households, for the whole program or one of its components. Included even where HUD leaves the income definition to grantees, since that is itself a finding.</t>
        </is>
      </c>
    </row>
    <row r="4" ht="48" customHeight="1">
      <c r="A4" s="43" t="inlineStr">
        <is>
          <t>Self-Help Housing Property Disposition Program</t>
        </is>
      </c>
      <c r="B4" s="44" t="inlineStr">
        <is>
          <t>Unclear</t>
        </is>
      </c>
      <c r="C4" s="43" t="inlineStr">
        <is>
          <t>U2 – Indirect income targeting</t>
        </is>
      </c>
      <c r="D4" s="43" t="inlineStr">
        <is>
          <t>40 U.S.C. 550(f)(1)–(3) — HUD conveys surplus federal property to States, localities, or nonprofits to house 'low-income individuals or families.' The statute doesn't define low income, and Programs of HUD lists no implementing regulation, so there is no HUD income rule to examine.</t>
        </is>
      </c>
      <c r="F4" s="45" t="inlineStr">
        <is>
          <t>X1 – No assistance to households</t>
        </is>
      </c>
      <c r="G4" s="46" t="inlineStr">
        <is>
          <t>Exclude</t>
        </is>
      </c>
      <c r="H4" s="47">
        <f>COUNTIF($C$3:$C$126,F4)</f>
        <v/>
      </c>
      <c r="I4" s="46" t="inlineStr">
        <is>
          <t>Money, insurance, or services go to governments, PHAs, owners, lenders, investors, or organizations (technical assistance, capacity building, research, project mortgage insurance). No household eligibility determination.</t>
        </is>
      </c>
    </row>
    <row r="5" ht="33" customHeight="1">
      <c r="A5" s="43" t="inlineStr">
        <is>
          <t>Capacity Building for Community Development and Affordable Housing (Section 4)</t>
        </is>
      </c>
      <c r="B5" s="44" t="inlineStr">
        <is>
          <t>Exclude</t>
        </is>
      </c>
      <c r="C5" s="43" t="inlineStr">
        <is>
          <t>X1 – No assistance to households</t>
        </is>
      </c>
      <c r="D5" s="43" t="inlineStr">
        <is>
          <t>HUD Demonstration Act of 1993 §4 (42 U.S.C. 9816 note) — grants to national intermediaries to build the capacity of CDCs and CHDOs. Programs of HUD 2025 (PDF p. 8).</t>
        </is>
      </c>
      <c r="F5" s="45" t="inlineStr">
        <is>
          <t>X2 – Regulatory or civil-rights requirement</t>
        </is>
      </c>
      <c r="G5" s="46" t="inlineStr">
        <is>
          <t>Exclude</t>
        </is>
      </c>
      <c r="H5" s="47">
        <f>COUNTIF($C$3:$C$126,F5)</f>
        <v/>
      </c>
      <c r="I5" s="46" t="inlineStr">
        <is>
          <t>A requirement imposed on HUD-funded entities or the housing market (civil rights, labor standards, construction standards). Not an assistance program.</t>
        </is>
      </c>
    </row>
    <row r="6" ht="48" customHeight="1">
      <c r="A6" s="43" t="inlineStr">
        <is>
          <t>Community Development Block Grant Disaster Recovery (CDBG-DR) Assistance</t>
        </is>
      </c>
      <c r="B6" s="44" t="inlineStr">
        <is>
          <t>Include</t>
        </is>
      </c>
      <c r="C6" s="43" t="inlineStr">
        <is>
          <t>I – Household income eligibility test</t>
        </is>
      </c>
      <c r="D6" s="43" t="inlineStr">
        <is>
          <t>42 U.S.C. 5302(a)(20), including (C) added by PL 119-70 §2; 24 CFR 570.3 ('Income') and 570.208(a) (low/mod national objective). Applied to CDBG-DR by appropriations acts and Federal Register allocation notices, which can waive or alter requirements.</t>
        </is>
      </c>
      <c r="F6" s="45" t="inlineStr">
        <is>
          <t>X3 – No income ceiling</t>
        </is>
      </c>
      <c r="G6" s="46" t="inlineStr">
        <is>
          <t>Exclude</t>
        </is>
      </c>
      <c r="H6" s="47">
        <f>COUNTIF($C$3:$C$126,F6)</f>
        <v/>
      </c>
      <c r="I6" s="46" t="inlineStr">
        <is>
          <t>Households benefit, but eligibility rests on other criteria (creditworthiness, age, occupation, tribal or Native Hawaiian status, default). Income is used, if at all, to show ability to repay.</t>
        </is>
      </c>
    </row>
    <row r="7" ht="33" customHeight="1">
      <c r="A7" s="43" t="inlineStr">
        <is>
          <t>Community Development Block Grants (CDBG) (Entitlement)</t>
        </is>
      </c>
      <c r="B7" s="44" t="inlineStr">
        <is>
          <t>Include</t>
        </is>
      </c>
      <c r="C7" s="43" t="inlineStr">
        <is>
          <t>I – Household income eligibility test</t>
        </is>
      </c>
      <c r="D7" s="43" t="inlineStr">
        <is>
          <t>42 U.S.C. 5302(a)(20), including (C) added by PL 119-70 §2; 24 CFR 570.3 ('Income') and 570.208(a)(2)–(3) — limited-clientele and housing activities require household income determinations.</t>
        </is>
      </c>
      <c r="F7" s="45" t="inlineStr">
        <is>
          <t>X4 – Already income-qualified under a listed program</t>
        </is>
      </c>
      <c r="G7" s="46" t="inlineStr">
        <is>
          <t>Exclude</t>
        </is>
      </c>
      <c r="H7" s="47">
        <f>COUNTIF($C$3:$C$126,F7)</f>
        <v/>
      </c>
      <c r="I7" s="46" t="inlineStr">
        <is>
          <t>Serves only households already admitted to a listed program (public housing, HCV, PBRA, Section 202/811). No separate income eligibility determination.</t>
        </is>
      </c>
    </row>
    <row r="8" ht="33" customHeight="1">
      <c r="A8" s="43" t="inlineStr">
        <is>
          <t>Community Development Block Grants for Insular Areas</t>
        </is>
      </c>
      <c r="B8" s="44" t="inlineStr">
        <is>
          <t>Include</t>
        </is>
      </c>
      <c r="C8" s="43" t="inlineStr">
        <is>
          <t>I – Household income eligibility test</t>
        </is>
      </c>
      <c r="D8" s="43" t="inlineStr">
        <is>
          <t>42 U.S.C. 5302(a)(20); 24 CFR part 570 (570.3 'Income') — same low/mod income rules as entitlement CDBG.</t>
        </is>
      </c>
      <c r="F8" s="45" t="inlineStr">
        <is>
          <t>X5 – Runs through another listed program</t>
        </is>
      </c>
      <c r="G8" s="46" t="inlineStr">
        <is>
          <t>Exclude</t>
        </is>
      </c>
      <c r="H8" s="47">
        <f>COUNTIF($C$3:$C$126,F8)</f>
        <v/>
      </c>
      <c r="I8" s="46" t="inlineStr">
        <is>
          <t>HUD administers the funds through another program on this list, so that program's row covers it.</t>
        </is>
      </c>
    </row>
    <row r="9" ht="33" customHeight="1">
      <c r="A9" s="43" t="inlineStr">
        <is>
          <t>Community Development Block Grants (Non-Entitlement) for States and Small Cities</t>
        </is>
      </c>
      <c r="B9" s="44" t="inlineStr">
        <is>
          <t>Include</t>
        </is>
      </c>
      <c r="C9" s="43" t="inlineStr">
        <is>
          <t>I – Household income eligibility test</t>
        </is>
      </c>
      <c r="D9" s="43" t="inlineStr">
        <is>
          <t>42 U.S.C. 5302(a)(20); 24 CFR 570.483(b) — State CDBG low/mod benefit criteria. PL 119-70 §2 names States expressly.</t>
        </is>
      </c>
      <c r="F9" s="45" t="inlineStr">
        <is>
          <t>U1 – Income sets payments only</t>
        </is>
      </c>
      <c r="G9" s="46" t="inlineStr">
        <is>
          <t>Unclear</t>
        </is>
      </c>
      <c r="H9" s="47">
        <f>COUNTIF($C$3:$C$126,F9)</f>
        <v/>
      </c>
      <c r="I9" s="46" t="inlineStr">
        <is>
          <t>No income eligibility test, but the program's own rule uses household income to set rent or fees. In scope only if the audit covers payment calculations.</t>
        </is>
      </c>
    </row>
    <row r="10" ht="48" customHeight="1">
      <c r="A10" s="43" t="inlineStr">
        <is>
          <t>Community Development Block Grants (Section 108 Loan Guarantee)</t>
        </is>
      </c>
      <c r="B10" s="44" t="inlineStr">
        <is>
          <t>Include</t>
        </is>
      </c>
      <c r="C10" s="43" t="inlineStr">
        <is>
          <t>I – Household income eligibility test</t>
        </is>
      </c>
      <c r="D10" s="43" t="inlineStr">
        <is>
          <t>42 U.S.C. 5308; 24 CFR part 570, subpart M — guaranteed activities must meet CDBG national objectives, so low/mod housing and limited-clientele activities use the CDBG income rules (570.3, 570.208).</t>
        </is>
      </c>
      <c r="F10" s="45" t="inlineStr">
        <is>
          <t>U2 – Indirect income targeting</t>
        </is>
      </c>
      <c r="G10" s="46" t="inlineStr">
        <is>
          <t>Unclear</t>
        </is>
      </c>
      <c r="H10" s="47">
        <f>COUNTIF($C$3:$C$126,F10)</f>
        <v/>
      </c>
      <c r="I10" s="46" t="inlineStr">
        <is>
          <t>Income matters only indirectly: a third party applies the limit (nonprofit or government buyer, tax-credit owner, employer), the limit comes from the tax code, or the statute leaves 'low income' undefined.</t>
        </is>
      </c>
    </row>
    <row r="11" ht="48" customHeight="1">
      <c r="A11" s="43" t="inlineStr">
        <is>
          <t>Continuum of Care Program</t>
        </is>
      </c>
      <c r="B11" s="44" t="inlineStr">
        <is>
          <t>Unclear</t>
        </is>
      </c>
      <c r="C11" s="43" t="inlineStr">
        <is>
          <t>U1 – Income sets payments only</t>
        </is>
      </c>
      <c r="D11" s="43" t="inlineStr">
        <is>
          <t>24 CFR 578.3 — eligibility rests on homeless status (plus disability for permanent supportive housing), not income. 24 CFR 578.77 — where rent or occupancy charges apply, income is calculated under 24 CFR 5.609.</t>
        </is>
      </c>
      <c r="F11" s="45" t="inlineStr">
        <is>
          <t>U3 – Legacy or closed-out</t>
        </is>
      </c>
      <c r="G11" s="46" t="inlineStr">
        <is>
          <t>Unclear</t>
        </is>
      </c>
      <c r="H11" s="47">
        <f>COUNTIF($C$3:$C$126,F11)</f>
        <v/>
      </c>
      <c r="I11" s="46" t="inlineStr">
        <is>
          <t>Income-tested, but no recent funding. In scope only if the audit covers legacy programs that still serve or certify households.</t>
        </is>
      </c>
    </row>
    <row r="12" ht="48" customHeight="1">
      <c r="A12" s="43" t="inlineStr">
        <is>
          <t>Emergency Solutions Grants (ESG) Program</t>
        </is>
      </c>
      <c r="B12" s="44" t="inlineStr">
        <is>
          <t>Include</t>
        </is>
      </c>
      <c r="C12" s="43" t="inlineStr">
        <is>
          <t>I – Household income eligibility test</t>
        </is>
      </c>
      <c r="D12" s="43" t="inlineStr">
        <is>
          <t>24 CFR 576.2 ('at risk of homelessness': income below 30% AMI); 576.103 (homelessness prevention eligibility); 576.401(b)–(c) (re-evaluation at or below 30% AMI; annual income under 24 CFR 5.609). Shelter and street outreach have no income test.</t>
        </is>
      </c>
      <c r="F12" s="45" t="inlineStr">
        <is>
          <t>U4 – Income test not yet confirmed</t>
        </is>
      </c>
      <c r="G12" s="46" t="inlineStr">
        <is>
          <t>Unclear</t>
        </is>
      </c>
      <c r="H12" s="47">
        <f>COUNTIF($C$3:$C$126,F12)</f>
        <v/>
      </c>
      <c r="I12" s="46" t="inlineStr">
        <is>
          <t>Probably income-tested, but the governing income rule hasn't been located.</t>
        </is>
      </c>
    </row>
    <row r="13" ht="33" customHeight="1">
      <c r="A13" s="43" t="inlineStr">
        <is>
          <t>Federal Surplus Property for Use to Assist Persons Experiencing Homelessness (Title V)</t>
        </is>
      </c>
      <c r="B13" s="44" t="inlineStr">
        <is>
          <t>Exclude</t>
        </is>
      </c>
      <c r="C13" s="43" t="inlineStr">
        <is>
          <t>X1 – No assistance to households</t>
        </is>
      </c>
      <c r="D13" s="43" t="inlineStr">
        <is>
          <t>42 U.S.C. 11411; 24 CFR 581.1 — surplus federal property goes to States, localities, and nonprofits that assist homeless people; no individual income test. Programs of HUD 2025 (PDF p. 19).</t>
        </is>
      </c>
    </row>
    <row r="14" ht="33" customHeight="1">
      <c r="A14" s="43" t="inlineStr">
        <is>
          <t>HOME Investment Partnerships</t>
        </is>
      </c>
      <c r="B14" s="44" t="inlineStr">
        <is>
          <t>Include</t>
        </is>
      </c>
      <c r="C14" s="43" t="inlineStr">
        <is>
          <t>I – Household income eligibility test</t>
        </is>
      </c>
      <c r="D14" s="43" t="inlineStr">
        <is>
          <t>42 U.S.C. 12744–12745 (income targeting for rental and homebuyer units); 24 CFR 92.203 (income determinations: Part 5 annual income or IRS Form 1040 AGI).</t>
        </is>
      </c>
      <c r="F14" s="48" t="inlineStr">
        <is>
          <t>Totals by determination</t>
        </is>
      </c>
    </row>
    <row r="15" ht="33" customHeight="1">
      <c r="A15" s="43" t="inlineStr">
        <is>
          <t>Housing Opportunities for Persons with AIDS (HOPWA)</t>
        </is>
      </c>
      <c r="B15" s="44" t="inlineStr">
        <is>
          <t>Include</t>
        </is>
      </c>
      <c r="C15" s="43" t="inlineStr">
        <is>
          <t>I – Household income eligibility test</t>
        </is>
      </c>
      <c r="D15" s="43" t="inlineStr">
        <is>
          <t>42 U.S.C. 12902 (AIDS Housing Opportunity Act §853: low-income means at or below 80% AMI); 24 CFR 574.3 ('eligible person'); 574.310(d)–(e) (income under 24 CFR 5.609 and 5.611).</t>
        </is>
      </c>
      <c r="F15" s="49" t="inlineStr">
        <is>
          <t>Include</t>
        </is>
      </c>
      <c r="H15" s="50">
        <f>COUNTIF($B$3:$B$126,F15)</f>
        <v/>
      </c>
    </row>
    <row r="16" ht="33" customHeight="1">
      <c r="A16" s="43" t="inlineStr">
        <is>
          <t>Housing Trust Fund</t>
        </is>
      </c>
      <c r="B16" s="44" t="inlineStr">
        <is>
          <t>Include</t>
        </is>
      </c>
      <c r="C16" s="43" t="inlineStr">
        <is>
          <t>I – Household income eligibility test</t>
        </is>
      </c>
      <c r="D16" s="43" t="inlineStr">
        <is>
          <t>12 U.S.C. 4568 (assistance for extremely low- and very low-income families); 24 CFR 93.151 (income determinations: Part 5 or IRS 1040 AGI).</t>
        </is>
      </c>
      <c r="F16" s="49" t="inlineStr">
        <is>
          <t>Exclude</t>
        </is>
      </c>
      <c r="H16" s="50">
        <f>COUNTIF($B$3:$B$126,F16)</f>
        <v/>
      </c>
    </row>
    <row r="17" ht="33" customHeight="1">
      <c r="A17" s="43" t="inlineStr">
        <is>
          <t>Rural Capacity Building for Community Development and Affordable Housing Grants Program</t>
        </is>
      </c>
      <c r="B17" s="44" t="inlineStr">
        <is>
          <t>Exclude</t>
        </is>
      </c>
      <c r="C17" s="43" t="inlineStr">
        <is>
          <t>X1 – No assistance to households</t>
        </is>
      </c>
      <c r="D17" s="43" t="inlineStr">
        <is>
          <t>Consolidated Appropriations Act, 2023 (PL 117-328) — grants to national organizations to build the capacity of rural housing and community development organizations. Programs of HUD 2025 (PDF p. 24).</t>
        </is>
      </c>
      <c r="F17" s="49" t="inlineStr">
        <is>
          <t>Unclear</t>
        </is>
      </c>
      <c r="H17" s="50">
        <f>COUNTIF($B$3:$B$126,F17)</f>
        <v/>
      </c>
    </row>
    <row r="18" ht="48" customHeight="1">
      <c r="A18" s="43" t="inlineStr">
        <is>
          <t>Self-Help Homeownership Opportunity Program (SHOP)</t>
        </is>
      </c>
      <c r="B18" s="44" t="inlineStr">
        <is>
          <t>Include</t>
        </is>
      </c>
      <c r="C18" s="43" t="inlineStr">
        <is>
          <t>I – Household income eligibility test</t>
        </is>
      </c>
      <c r="D18" s="43" t="inlineStr">
        <is>
          <t>Housing Opportunity Program Extension Act of 1996 §11 (42 U.S.C. 12805 note) — homebuyers must be low-income. The FY2013 SHOP NOFA (FR-5700-N-11) sets the limit at 80% AMI and lets grantees use 24 CFR 5.609, IRS 1040 AGI, or a HUD-approved grantee definition; confirm against the current NOFO.</t>
        </is>
      </c>
      <c r="F18" s="48" t="inlineStr">
        <is>
          <t>All programs</t>
        </is>
      </c>
      <c r="H18" s="51">
        <f>SUM(H15:H17)</f>
        <v/>
      </c>
    </row>
    <row r="19" ht="48" customHeight="1">
      <c r="A19" s="43" t="inlineStr">
        <is>
          <t>Energy Efficient Mortgage Program</t>
        </is>
      </c>
      <c r="B19" s="44" t="inlineStr">
        <is>
          <t>Exclude</t>
        </is>
      </c>
      <c r="C19" s="43" t="inlineStr">
        <is>
          <t>X3 – No income ceiling</t>
        </is>
      </c>
      <c r="D19" s="43" t="inlineStr">
        <is>
          <t>12 U.S.C. 1701z-16; 24 CFR 203.18(i) — adds energy-improvement costs to an FHA-insured loan. The borrower qualifies under 24 CFR 203.33, which requires income adequate to repay and sets no income ceiling.</t>
        </is>
      </c>
    </row>
    <row r="20" ht="33" customHeight="1">
      <c r="A20" s="43" t="inlineStr">
        <is>
          <t>Good Neighbor Next Door Sales Program (GNND)</t>
        </is>
      </c>
      <c r="B20" s="44" t="inlineStr">
        <is>
          <t>Exclude</t>
        </is>
      </c>
      <c r="C20" s="43" t="inlineStr">
        <is>
          <t>X3 – No income ceiling</t>
        </is>
      </c>
      <c r="D20" s="43" t="inlineStr">
        <is>
          <t>12 U.S.C. 1710; 24 CFR 291.515–291.530 — purchasers qualify by occupation (law enforcement officer, teacher, firefighter/EMT) and must owner-occupy; no income test.</t>
        </is>
      </c>
    </row>
    <row r="21" ht="33" customHeight="1">
      <c r="A21" s="43" t="inlineStr">
        <is>
          <t>Home Equity Conversion Mortgage (HECM) (Section 255)</t>
        </is>
      </c>
      <c r="B21" s="44" t="inlineStr">
        <is>
          <t>Exclude</t>
        </is>
      </c>
      <c r="C21" s="43" t="inlineStr">
        <is>
          <t>X3 – No income ceiling</t>
        </is>
      </c>
      <c r="D21" s="43" t="inlineStr">
        <is>
          <t>12 U.S.C. 1715z-20; 24 CFR 206.33 — eligibility turns on age (youngest borrower 62 or older); no income limit. Income enters only the financial assessment of ability to pay property charges.</t>
        </is>
      </c>
    </row>
    <row r="22" ht="33" customHeight="1">
      <c r="A22" s="43" t="inlineStr">
        <is>
          <t>Insurance for Adjustable Rate Mortgages (ARMs) (Section 251)</t>
        </is>
      </c>
      <c r="B22" s="44" t="inlineStr">
        <is>
          <t>Exclude</t>
        </is>
      </c>
      <c r="C22" s="43" t="inlineStr">
        <is>
          <t>X3 – No income ceiling</t>
        </is>
      </c>
      <c r="D22" s="43" t="inlineStr">
        <is>
          <t>12 U.S.C. 1715z-16; 24 CFR 203.49 — adjustable-rate feature on FHA-insured loans; borrower qualifies under 24 CFR 203.33 (income adequate to repay; no ceiling).</t>
        </is>
      </c>
    </row>
    <row r="23" ht="33" customHeight="1">
      <c r="A23" s="43" t="inlineStr">
        <is>
          <t>Insured Mortgages on Hawaiian Home Lands (Section 247)</t>
        </is>
      </c>
      <c r="B23" s="44" t="inlineStr">
        <is>
          <t>Exclude</t>
        </is>
      </c>
      <c r="C23" s="43" t="inlineStr">
        <is>
          <t>X3 – No income ceiling</t>
        </is>
      </c>
      <c r="D23" s="43" t="inlineStr">
        <is>
          <t>12 U.S.C. 1715z-12; 24 CFR 203.43i — FHA insurance for native Hawaiian lessees on Hawaiian Home Lands; standard FHA underwriting (24 CFR 203.33), no income ceiling.</t>
        </is>
      </c>
    </row>
    <row r="24" ht="33" customHeight="1">
      <c r="A24" s="43" t="inlineStr">
        <is>
          <t>Loss Mitigation</t>
        </is>
      </c>
      <c r="B24" s="44" t="inlineStr">
        <is>
          <t>Exclude</t>
        </is>
      </c>
      <c r="C24" s="43" t="inlineStr">
        <is>
          <t>X3 – No income ceiling</t>
        </is>
      </c>
      <c r="D24" s="43" t="inlineStr">
        <is>
          <t>12 U.S.C. 1710(a), 1715u; 24 CFR part 203 (servicing and loss mitigation) — options for FHA borrowers in default. Income is used to set an affordable payment, not as an eligibility ceiling.</t>
        </is>
      </c>
    </row>
    <row r="25" ht="33" customHeight="1">
      <c r="A25" s="43" t="inlineStr">
        <is>
          <t>Manufactured Homes Loan Insurance (Title I)</t>
        </is>
      </c>
      <c r="B25" s="44" t="inlineStr">
        <is>
          <t>Exclude</t>
        </is>
      </c>
      <c r="C25" s="43" t="inlineStr">
        <is>
          <t>X3 – No income ceiling</t>
        </is>
      </c>
      <c r="D25" s="43" t="inlineStr">
        <is>
          <t>12 U.S.C. 1703; 24 CFR part 201 — insures lenders against loss on manufactured home loans; borrowers are underwritten for ability to repay, with no income ceiling.</t>
        </is>
      </c>
    </row>
    <row r="26" ht="33" customHeight="1">
      <c r="A26" s="43" t="inlineStr">
        <is>
          <t>Mortgage Insurance for Disaster Victims (Section 203)</t>
        </is>
      </c>
      <c r="B26" s="44" t="inlineStr">
        <is>
          <t>Exclude</t>
        </is>
      </c>
      <c r="C26" s="43" t="inlineStr">
        <is>
          <t>X3 – No income ceiling</t>
        </is>
      </c>
      <c r="D26" s="43" t="inlineStr">
        <is>
          <t>12 U.S.C. 1709(h); 24 CFR 203.18 — FHA insurance for victims of declared disasters; eligibility is disaster displacement plus FHA underwriting (24 CFR 203.33), no income ceiling.</t>
        </is>
      </c>
    </row>
    <row r="27" ht="33" customHeight="1">
      <c r="A27" s="43" t="inlineStr">
        <is>
          <t>Mortgage Insurance for One- to Four-Family Homes (Section 203)</t>
        </is>
      </c>
      <c r="B27" s="44" t="inlineStr">
        <is>
          <t>Exclude</t>
        </is>
      </c>
      <c r="C27" s="43" t="inlineStr">
        <is>
          <t>X3 – No income ceiling</t>
        </is>
      </c>
      <c r="D27" s="43" t="inlineStr">
        <is>
          <t>12 U.S.C. 1709(b); 24 CFR 203.33 — the borrower's income must be 'adequate to meet' the mortgage payments and other obligations: a floor for repayment, with no ceiling.</t>
        </is>
      </c>
    </row>
    <row r="28" ht="33" customHeight="1">
      <c r="A28" s="43" t="inlineStr">
        <is>
          <t>Mortgage Insurance Programs on Indian Reservations and Other Restricted Lands (Section 248)</t>
        </is>
      </c>
      <c r="B28" s="44" t="inlineStr">
        <is>
          <t>Exclude</t>
        </is>
      </c>
      <c r="C28" s="43" t="inlineStr">
        <is>
          <t>X3 – No income ceiling</t>
        </is>
      </c>
      <c r="D28" s="43" t="inlineStr">
        <is>
          <t>12 U.S.C. 1715z-13; 24 CFR 203.43h — FHA insurance on Indian reservations and restricted lands; standard FHA underwriting (24 CFR 203.33), no income ceiling.</t>
        </is>
      </c>
    </row>
    <row r="29" ht="33" customHeight="1">
      <c r="A29" s="43" t="inlineStr">
        <is>
          <t>Property Improvement Loan Insurance (Title I)</t>
        </is>
      </c>
      <c r="B29" s="44" t="inlineStr">
        <is>
          <t>Exclude</t>
        </is>
      </c>
      <c r="C29" s="43" t="inlineStr">
        <is>
          <t>X3 – No income ceiling</t>
        </is>
      </c>
      <c r="D29" s="43" t="inlineStr">
        <is>
          <t>12 U.S.C. 1703; 24 CFR part 201 — insures lenders against loss on property improvement loans; no borrower income ceiling.</t>
        </is>
      </c>
    </row>
    <row r="30" ht="33" customHeight="1">
      <c r="A30" s="43" t="inlineStr">
        <is>
          <t>Rehabilitation Loan Mortgage Insurance (Section 203(k))</t>
        </is>
      </c>
      <c r="B30" s="44" t="inlineStr">
        <is>
          <t>Exclude</t>
        </is>
      </c>
      <c r="C30" s="43" t="inlineStr">
        <is>
          <t>X3 – No income ceiling</t>
        </is>
      </c>
      <c r="D30" s="43" t="inlineStr">
        <is>
          <t>12 U.S.C. 1709(k); 24 CFR 203.50 — FHA insurance covering purchase plus rehabilitation; standard FHA underwriting (24 CFR 203.33), no income ceiling.</t>
        </is>
      </c>
    </row>
    <row r="31" ht="63" customHeight="1">
      <c r="A31" s="43" t="inlineStr">
        <is>
          <t>Single Family Property Disposition Program (Section 204(g))</t>
        </is>
      </c>
      <c r="B31" s="44" t="inlineStr">
        <is>
          <t>Unclear</t>
        </is>
      </c>
      <c r="C31" s="43" t="inlineStr">
        <is>
          <t>U2 – Indirect income targeting</t>
        </is>
      </c>
      <c r="D31" s="43" t="inlineStr">
        <is>
          <t>12 U.S.C. 1710(g); 24 CFR part 291 — ordinary sales of HUD-owned homes carry no buyer income limit, but nonprofit and government channels do: 291.100(d)(2) (resale to owner-occupants at or below 115% AMI), 291.405 (homeless lease program, income at or below 50% AMI), 291.415(e)(1). The buying organization applies those limits.</t>
        </is>
      </c>
    </row>
    <row r="32" ht="33" customHeight="1">
      <c r="A32" s="43" t="inlineStr">
        <is>
          <t>Single Family Loan Sale Program (SFLS)</t>
        </is>
      </c>
      <c r="B32" s="44" t="inlineStr">
        <is>
          <t>Exclude</t>
        </is>
      </c>
      <c r="C32" s="43" t="inlineStr">
        <is>
          <t>X1 – No assistance to households</t>
        </is>
      </c>
      <c r="D32" s="43" t="inlineStr">
        <is>
          <t>12 U.S.C. 1710(a), (g); 24 CFR part 291 — sales of defaulted FHA-insured notes to investors. Programs of HUD 2025 (PDF p. 39).</t>
        </is>
      </c>
    </row>
    <row r="33" ht="33" customHeight="1">
      <c r="A33" s="43" t="inlineStr">
        <is>
          <t>Manufactured Home Construction and Safety Standards</t>
        </is>
      </c>
      <c r="B33" s="44" t="inlineStr">
        <is>
          <t>Exclude</t>
        </is>
      </c>
      <c r="C33" s="43" t="inlineStr">
        <is>
          <t>X2 – Regulatory or civil-rights requirement</t>
        </is>
      </c>
      <c r="D33" s="43" t="inlineStr">
        <is>
          <t>42 U.S.C. 5401–5426; 24 CFR parts 3280, 3282 — federal construction and safety standards for manufactured homes, enforced on manufacturers.</t>
        </is>
      </c>
    </row>
    <row r="34" ht="48" customHeight="1">
      <c r="A34" s="43" t="inlineStr">
        <is>
          <t>Mark-to-Market Program (M2M)</t>
        </is>
      </c>
      <c r="B34" s="44" t="inlineStr">
        <is>
          <t>Exclude</t>
        </is>
      </c>
      <c r="C34" s="43" t="inlineStr">
        <is>
          <t>X4 – Already income-qualified under a listed program</t>
        </is>
      </c>
      <c r="D34" s="43" t="inlineStr">
        <is>
          <t>Multifamily Assisted Housing Reform and Affordability Act of 1997 (42 U.S.C. 1437f note); 24 CFR part 401 — restructures mortgages and Section 8 rents of assisted projects; tenants are income-qualified under Section 8 project-based rules.</t>
        </is>
      </c>
    </row>
    <row r="35" ht="33" customHeight="1">
      <c r="A35" s="43" t="inlineStr">
        <is>
          <t>Mortgage Insurance for Cooperative Housing (Section 213)</t>
        </is>
      </c>
      <c r="B35" s="44" t="inlineStr">
        <is>
          <t>Exclude</t>
        </is>
      </c>
      <c r="C35" s="43" t="inlineStr">
        <is>
          <t>X1 – No assistance to households</t>
        </is>
      </c>
      <c r="D35" s="43" t="inlineStr">
        <is>
          <t>12 U.S.C. 1715e; 24 CFR part 213 — insures blanket mortgages on cooperative projects; no member income test.</t>
        </is>
      </c>
    </row>
    <row r="36" ht="48" customHeight="1">
      <c r="A36" s="43" t="inlineStr">
        <is>
          <t>Mortgage Insurance for Purchase or Refinance of Existing and Multifamily Rental Housing (Sections 207 and 223(f))</t>
        </is>
      </c>
      <c r="B36" s="44" t="inlineStr">
        <is>
          <t>Exclude</t>
        </is>
      </c>
      <c r="C36" s="43" t="inlineStr">
        <is>
          <t>X1 – No assistance to households</t>
        </is>
      </c>
      <c r="D36" s="43" t="inlineStr">
        <is>
          <t>12 U.S.C. 1713, 1715n(f); 24 CFR parts 200, 207 — insures mortgages on rental projects; no tenant income test.</t>
        </is>
      </c>
    </row>
    <row r="37" ht="33" customHeight="1">
      <c r="A37" s="43" t="inlineStr">
        <is>
          <t>Mortgage Insurance for Rental Housing for the Elderly (Section 231)</t>
        </is>
      </c>
      <c r="B37" s="44" t="inlineStr">
        <is>
          <t>Exclude</t>
        </is>
      </c>
      <c r="C37" s="43" t="inlineStr">
        <is>
          <t>X1 – No assistance to households</t>
        </is>
      </c>
      <c r="D37" s="43" t="inlineStr">
        <is>
          <t>12 U.S.C. 1715v; 24 CFR part 231 — insures mortgages on rental projects for elderly residents; no tenant income test.</t>
        </is>
      </c>
    </row>
    <row r="38" ht="48" customHeight="1">
      <c r="A38" s="43" t="inlineStr">
        <is>
          <t>Mortgage Insurance for Rental Housing for Urban Renewal and Concentrated Development Areas (Section 220)</t>
        </is>
      </c>
      <c r="B38" s="44" t="inlineStr">
        <is>
          <t>Exclude</t>
        </is>
      </c>
      <c r="C38" s="43" t="inlineStr">
        <is>
          <t>X1 – No assistance to households</t>
        </is>
      </c>
      <c r="D38" s="43" t="inlineStr">
        <is>
          <t>12 U.S.C. 1715k; 24 CFR part 220 — insures project mortgages in urban renewal and concentrated development areas; no tenant income test.</t>
        </is>
      </c>
    </row>
    <row r="39" ht="33" customHeight="1">
      <c r="A39" s="43" t="inlineStr">
        <is>
          <t>Mortgage Insurance for Supplemental Loans for Multifamily and Healthcare Projects (Section 241)</t>
        </is>
      </c>
      <c r="B39" s="44" t="inlineStr">
        <is>
          <t>Exclude</t>
        </is>
      </c>
      <c r="C39" s="43" t="inlineStr">
        <is>
          <t>X1 – No assistance to households</t>
        </is>
      </c>
      <c r="D39" s="43" t="inlineStr">
        <is>
          <t>12 U.S.C. 1715z-6; 24 CFR part 241 — insures supplemental loans to existing insured projects; no tenant income test.</t>
        </is>
      </c>
    </row>
    <row r="40" ht="33" customHeight="1">
      <c r="A40" s="43" t="inlineStr">
        <is>
          <t>Multifamily Housing Service Coordinators</t>
        </is>
      </c>
      <c r="B40" s="44" t="inlineStr">
        <is>
          <t>Exclude</t>
        </is>
      </c>
      <c r="C40" s="43" t="inlineStr">
        <is>
          <t>X4 – Already income-qualified under a listed program</t>
        </is>
      </c>
      <c r="D40" s="43" t="inlineStr">
        <is>
          <t>12 U.S.C. 1701q(g); 42 U.S.C. 1437f(d)(2); 42 U.S.C. 13631–13632 — grants pay for service coordinators at Section 8, 202, and 811 properties, whose residents are income-qualified under those programs.</t>
        </is>
      </c>
    </row>
    <row r="41" ht="48" customHeight="1">
      <c r="A41" s="43" t="inlineStr">
        <is>
          <t>Multifamily Mortgage Risk-Sharing Programs (Sections 542(b) and 542(c))</t>
        </is>
      </c>
      <c r="B41" s="44" t="inlineStr">
        <is>
          <t>Unclear</t>
        </is>
      </c>
      <c r="C41" s="43" t="inlineStr">
        <is>
          <t>U2 – Indirect income targeting</t>
        </is>
      </c>
      <c r="D41" s="43" t="inlineStr">
        <is>
          <t>12 U.S.C. 1715z-22(b)(9), (c)(7) (rents capped at IRC §42(g) levels); 24 CFR 266.5 ('affordable housing' means a qualified low-income project under IRC §42(g)). Tenant income set-asides follow IRC §42, not a HUD income rule.</t>
        </is>
      </c>
    </row>
    <row r="42" ht="48" customHeight="1">
      <c r="A42" s="43" t="inlineStr">
        <is>
          <t>Multifamily Rental Housing for Moderate-Income Families (Section 221(d)(3) and (4))</t>
        </is>
      </c>
      <c r="B42" s="44" t="inlineStr">
        <is>
          <t>Exclude</t>
        </is>
      </c>
      <c r="C42" s="43" t="inlineStr">
        <is>
          <t>X1 – No assistance to households</t>
        </is>
      </c>
      <c r="D42" s="43" t="inlineStr">
        <is>
          <t>12 U.S.C. 1715l(d)(3)–(4); 24 CFR part 221, subparts C–D — insures mortgages on market-rate rental projects; no tenant income test. Legacy 221(d)(3) BMIR projects, which do income-test tenants, are listed separately at the bottom.</t>
        </is>
      </c>
    </row>
    <row r="43" ht="33" customHeight="1">
      <c r="A43" s="43" t="inlineStr">
        <is>
          <t>Renewal of Section 8 Project-Based Rental Assistance</t>
        </is>
      </c>
      <c r="B43" s="44" t="inlineStr">
        <is>
          <t>Include</t>
        </is>
      </c>
      <c r="C43" s="43" t="inlineStr">
        <is>
          <t>I – Household income eligibility test</t>
        </is>
      </c>
      <c r="D43" s="43" t="inlineStr">
        <is>
          <t>42 U.S.C. 1437a(b)(2), 1437a(b)(4), 1437f; 24 CFR 5.601, 5.609, 5.653 (admission income eligibility for project-based Section 8).</t>
        </is>
      </c>
    </row>
    <row r="44" ht="33" customHeight="1">
      <c r="A44" s="43" t="inlineStr">
        <is>
          <t>Supportive Housing for the Elderly (Section 202)</t>
        </is>
      </c>
      <c r="B44" s="44" t="inlineStr">
        <is>
          <t>Include</t>
        </is>
      </c>
      <c r="C44" s="43" t="inlineStr">
        <is>
          <t>I – Household income eligibility test</t>
        </is>
      </c>
      <c r="D44" s="43" t="inlineStr">
        <is>
          <t>12 U.S.C. 1701q (housing for very low-income elderly persons); 24 CFR 5.601 (applies Part 5 income rules to Section 202); 24 CFR part 891.</t>
        </is>
      </c>
    </row>
    <row r="45" ht="48" customHeight="1">
      <c r="A45" s="43" t="inlineStr">
        <is>
          <t>Supportive Housing for Persons with Disabilities (Section 811) and the Section 811 Project Rental Assistance (Section 811 PRA) program</t>
        </is>
      </c>
      <c r="B45" s="44" t="inlineStr">
        <is>
          <t>Include</t>
        </is>
      </c>
      <c r="C45" s="43" t="inlineStr">
        <is>
          <t>I – Household income eligibility test</t>
        </is>
      </c>
      <c r="D45" s="43" t="inlineStr">
        <is>
          <t>42 U.S.C. 8013 (housing for very low-income persons with disabilities); 24 CFR 5.601; 24 CFR part 891 (capital advance). Section 811 PRA has no regulation and runs on program notices.</t>
        </is>
      </c>
    </row>
    <row r="46" ht="33" customHeight="1">
      <c r="A46" s="43" t="inlineStr">
        <is>
          <t>Hospitals (Section 242)</t>
        </is>
      </c>
      <c r="B46" s="44" t="inlineStr">
        <is>
          <t>Exclude</t>
        </is>
      </c>
      <c r="C46" s="43" t="inlineStr">
        <is>
          <t>X1 – No assistance to households</t>
        </is>
      </c>
      <c r="D46" s="43" t="inlineStr">
        <is>
          <t>12 U.S.C. 1715z-7; 24 CFR part 242 — insures mortgages on hospitals; no patient or household eligibility.</t>
        </is>
      </c>
    </row>
    <row r="47" ht="63" customHeight="1">
      <c r="A47" s="43" t="inlineStr">
        <is>
          <t>New Construction or Substantial Rehabilitation of Nursing Homes, Intermediate Care Facilities, Board and Care Homes, and Assisted Living Facilities (Section 232)</t>
        </is>
      </c>
      <c r="B47" s="44" t="inlineStr">
        <is>
          <t>Exclude</t>
        </is>
      </c>
      <c r="C47" s="43" t="inlineStr">
        <is>
          <t>X1 – No assistance to households</t>
        </is>
      </c>
      <c r="D47" s="43" t="inlineStr">
        <is>
          <t>12 U.S.C. 1715w; 24 CFR part 232 — insures mortgages on nursing homes, assisted living, and board-and-care facilities; no resident income test.</t>
        </is>
      </c>
    </row>
    <row r="48" ht="48" customHeight="1">
      <c r="A48" s="43" t="inlineStr">
        <is>
          <t>Housing Counseling Program</t>
        </is>
      </c>
      <c r="B48" s="44" t="inlineStr">
        <is>
          <t>Exclude</t>
        </is>
      </c>
      <c r="C48" s="43" t="inlineStr">
        <is>
          <t>X3 – No income ceiling</t>
        </is>
      </c>
      <c r="D48" s="43" t="inlineStr">
        <is>
          <t>42 U.S.C. 3533(g); 12 U.S.C. 1701x; 24 CFR part 214 — counseling is open to all, with no income eligibility test. 24 CFR 214.313(c)(1) requires free counseling for people who can't afford fees: a fee policy, not an eligibility limit.</t>
        </is>
      </c>
    </row>
    <row r="49" ht="33" customHeight="1">
      <c r="A49" s="43" t="inlineStr">
        <is>
          <t>Book-Rich Environments Initiative</t>
        </is>
      </c>
      <c r="B49" s="44" t="inlineStr">
        <is>
          <t>Exclude</t>
        </is>
      </c>
      <c r="C49" s="43" t="inlineStr">
        <is>
          <t>X4 – Already income-qualified under a listed program</t>
        </is>
      </c>
      <c r="D49" s="43" t="inlineStr">
        <is>
          <t>12 U.S.C. 1701z-1 — interagency initiative distributing books to children in HUD-assisted housing; no funding stream or eligibility rule of its own. Programs of HUD 2025 (PDF p. 57).</t>
        </is>
      </c>
    </row>
    <row r="50" ht="48" customHeight="1">
      <c r="A50" s="43" t="inlineStr">
        <is>
          <t>Choice Neighborhoods</t>
        </is>
      </c>
      <c r="B50" s="44" t="inlineStr">
        <is>
          <t>Exclude</t>
        </is>
      </c>
      <c r="C50" s="43" t="inlineStr">
        <is>
          <t>X4 – Already income-qualified under a listed program</t>
        </is>
      </c>
      <c r="D50" s="43" t="inlineStr">
        <is>
          <t>PL 118-42; 42 U.S.C. 1437v — grants to PHAs, localities, and nonprofits to redevelop distressed public and assisted housing. Residents' income eligibility is set by the public housing, PBV, or PBRA rules that govern the replacement units.</t>
        </is>
      </c>
    </row>
    <row r="51" ht="33" customHeight="1">
      <c r="A51" s="43" t="inlineStr">
        <is>
          <t>ConnectHomeUSA</t>
        </is>
      </c>
      <c r="B51" s="44" t="inlineStr">
        <is>
          <t>Exclude</t>
        </is>
      </c>
      <c r="C51" s="43" t="inlineStr">
        <is>
          <t>X4 – Already income-qualified under a listed program</t>
        </is>
      </c>
      <c r="D51" s="43" t="inlineStr">
        <is>
          <t>12 U.S.C. 1701z-1; 80 FR 18248 (Apr. 3, 2015) — initiative to expand internet access for residents of HUD-assisted housing; no eligibility rule of its own.</t>
        </is>
      </c>
    </row>
    <row r="52" ht="33" customHeight="1">
      <c r="A52" s="43" t="inlineStr">
        <is>
          <t>Family Self-Sufficiency (FSS) Program</t>
        </is>
      </c>
      <c r="B52" s="44" t="inlineStr">
        <is>
          <t>Exclude</t>
        </is>
      </c>
      <c r="C52" s="43" t="inlineStr">
        <is>
          <t>X4 – Already income-qualified under a listed program</t>
        </is>
      </c>
      <c r="D52" s="43" t="inlineStr">
        <is>
          <t>42 U.S.C. 1437u; 24 CFR 984.103 — 'eligible families' are current public housing residents and Section 8 participants, already income-qualified under those programs.</t>
        </is>
      </c>
    </row>
    <row r="53" ht="33" customHeight="1">
      <c r="A53" s="43" t="inlineStr">
        <is>
          <t>Housing Choice Voucher Program</t>
        </is>
      </c>
      <c r="B53" s="44" t="inlineStr">
        <is>
          <t>Include</t>
        </is>
      </c>
      <c r="C53" s="43" t="inlineStr">
        <is>
          <t>I – Household income eligibility test</t>
        </is>
      </c>
      <c r="D53" s="43" t="inlineStr">
        <is>
          <t>42 U.S.C. 1437a(b)(2), 1437a(b)(4), 1437n(b); 24 CFR 982.201(b) (income eligibility at admission); 24 CFR 5.609.</t>
        </is>
      </c>
    </row>
    <row r="54" ht="33" customHeight="1">
      <c r="A54" s="43" t="inlineStr">
        <is>
          <t>Jobs Plus Initiative</t>
        </is>
      </c>
      <c r="B54" s="44" t="inlineStr">
        <is>
          <t>Exclude</t>
        </is>
      </c>
      <c r="C54" s="43" t="inlineStr">
        <is>
          <t>X4 – Already income-qualified under a listed program</t>
        </is>
      </c>
      <c r="D54" s="43" t="inlineStr">
        <is>
          <t>PL 118-42 (annual appropriations) — grants to PHAs for employment services at public housing developments; participants are public housing residents.</t>
        </is>
      </c>
    </row>
    <row r="55" ht="48" customHeight="1">
      <c r="A55" s="43" t="inlineStr">
        <is>
          <t>Moving to Work (MTW) Demonstration</t>
        </is>
      </c>
      <c r="B55" s="44" t="inlineStr">
        <is>
          <t>Include</t>
        </is>
      </c>
      <c r="C55" s="43" t="inlineStr">
        <is>
          <t>I – Household income eligibility test</t>
        </is>
      </c>
      <c r="D55" s="43" t="inlineStr">
        <is>
          <t>PL 104-134 §204 (as expanded, most recently PL 114-113 §239) — MTW agencies must keep at least 75% of families assisted very low-income (§204(c)(3)(A)); admission income limits come from the 1937 Act (42 U.S.C. 1437a(b)(2)).</t>
        </is>
      </c>
    </row>
    <row r="56" ht="33" customHeight="1">
      <c r="A56" s="43" t="inlineStr">
        <is>
          <t>Project-Based Voucher Program</t>
        </is>
      </c>
      <c r="B56" s="44" t="inlineStr">
        <is>
          <t>Include</t>
        </is>
      </c>
      <c r="C56" s="43" t="inlineStr">
        <is>
          <t>I – Household income eligibility test</t>
        </is>
      </c>
      <c r="D56" s="43" t="inlineStr">
        <is>
          <t>42 U.S.C. 1437f(o)(13), 1437f(o)(4); 24 CFR part 983, subpart F (PBV occupancy; eligibility under 24 CFR 982.201); 24 CFR 5.609.</t>
        </is>
      </c>
    </row>
    <row r="57" ht="33" customHeight="1">
      <c r="A57" s="43" t="inlineStr">
        <is>
          <t>Public Housing Capital Fund</t>
        </is>
      </c>
      <c r="B57" s="44" t="inlineStr">
        <is>
          <t>Exclude</t>
        </is>
      </c>
      <c r="C57" s="43" t="inlineStr">
        <is>
          <t>X4 – Already income-qualified under a listed program</t>
        </is>
      </c>
      <c r="D57" s="43" t="inlineStr">
        <is>
          <t>42 U.S.C. 1437g(d); 24 CFR part 905 — capital grants to PHAs; residents are income-qualified under public housing admission rules (see the Public housing row below).</t>
        </is>
      </c>
    </row>
    <row r="58" ht="48" customHeight="1">
      <c r="A58" s="43" t="inlineStr">
        <is>
          <t>Public Housing Homeownership (Section 32)</t>
        </is>
      </c>
      <c r="B58" s="44" t="inlineStr">
        <is>
          <t>Include</t>
        </is>
      </c>
      <c r="C58" s="43" t="inlineStr">
        <is>
          <t>I – Household income eligibility test</t>
        </is>
      </c>
      <c r="D58" s="43" t="inlineStr">
        <is>
          <t>42 U.S.C. 1437z-4; 24 CFR 906.15 — purchasers must be low-income families under 1937 Act §3 (except residents using a right of first refusal). The affordability test cross-references 24 CFR part 913, the pre-Part 5 income rule.</t>
        </is>
      </c>
    </row>
    <row r="59" ht="33" customHeight="1">
      <c r="A59" s="43" t="inlineStr">
        <is>
          <t>Public Housing Operating Fund</t>
        </is>
      </c>
      <c r="B59" s="44" t="inlineStr">
        <is>
          <t>Exclude</t>
        </is>
      </c>
      <c r="C59" s="43" t="inlineStr">
        <is>
          <t>X4 – Already income-qualified under a listed program</t>
        </is>
      </c>
      <c r="D59" s="43" t="inlineStr">
        <is>
          <t>42 U.S.C. 1437g(e); 24 CFR part 990 — operating subsidy to PHAs; residents are income-qualified under public housing admission rules (see the Public housing row below).</t>
        </is>
      </c>
    </row>
    <row r="60" ht="33" customHeight="1">
      <c r="A60" s="43" t="inlineStr">
        <is>
          <t>Resident Opportunity and Self-Sufficiency (ROSS) Service Coordinator Program</t>
        </is>
      </c>
      <c r="B60" s="44" t="inlineStr">
        <is>
          <t>Exclude</t>
        </is>
      </c>
      <c r="C60" s="43" t="inlineStr">
        <is>
          <t>X4 – Already income-qualified under a listed program</t>
        </is>
      </c>
      <c r="D60" s="43" t="inlineStr">
        <is>
          <t>42 U.S.C. 1437z-6; 24 CFR part 964 — service coordination for public housing residents, already income-qualified under public housing rules.</t>
        </is>
      </c>
    </row>
    <row r="61" ht="33" customHeight="1">
      <c r="A61" s="43" t="inlineStr">
        <is>
          <t>Indian Community Development Block Grant (ICDBG) Program</t>
        </is>
      </c>
      <c r="B61" s="44" t="inlineStr">
        <is>
          <t>Include</t>
        </is>
      </c>
      <c r="C61" s="43" t="inlineStr">
        <is>
          <t>I – Household income eligibility test</t>
        </is>
      </c>
      <c r="D61" s="43" t="inlineStr">
        <is>
          <t>42 U.S.C. 5302(a)(20) (PL 119-70 §2 names Indian tribes); 24 CFR 1003.4 (low- and moderate-income definitions).</t>
        </is>
      </c>
    </row>
    <row r="62" ht="48" customHeight="1">
      <c r="A62" s="43" t="inlineStr">
        <is>
          <t>Indian Housing Block Grant (IHBG) Program</t>
        </is>
      </c>
      <c r="B62" s="44" t="inlineStr">
        <is>
          <t>Include</t>
        </is>
      </c>
      <c r="C62" s="43" t="inlineStr">
        <is>
          <t>I – Household income eligibility test</t>
        </is>
      </c>
      <c r="D62" s="43" t="inlineStr">
        <is>
          <t>25 U.S.C. 4103(9), (14) (income and low-income family; (9)(C) excludes chapter 11 compensation); 24 CFR 1000.10, 1000.104. The training and technical assistance component (AL 14.893) serves tribes and TDHEs, not households.</t>
        </is>
      </c>
    </row>
    <row r="63" ht="48" customHeight="1">
      <c r="A63" s="43" t="inlineStr">
        <is>
          <t>Section 184 Indian Housing Loan Guarantee Program (Section 184)</t>
        </is>
      </c>
      <c r="B63" s="44" t="inlineStr">
        <is>
          <t>Exclude</t>
        </is>
      </c>
      <c r="C63" s="43" t="inlineStr">
        <is>
          <t>X3 – No income ceiling</t>
        </is>
      </c>
      <c r="D63" s="43" t="inlineStr">
        <is>
          <t>12 U.S.C. 1715z-13a(b)(1) — loans 'only to borrowers who are Indian families, Indian housing authorities, or Indian tribes'; no income limit (FDIC Affordable Mortgage Lending Guide: 'This program has no income limits'). 24 CFR part 1005.</t>
        </is>
      </c>
    </row>
    <row r="64" ht="33" customHeight="1">
      <c r="A64" s="43" t="inlineStr">
        <is>
          <t>Section 184A Native Hawaiian Housing Loan Guarantee Program (Section 184A)</t>
        </is>
      </c>
      <c r="B64" s="44" t="inlineStr">
        <is>
          <t>Exclude</t>
        </is>
      </c>
      <c r="C64" s="43" t="inlineStr">
        <is>
          <t>X3 – No income ceiling</t>
        </is>
      </c>
      <c r="D64" s="43" t="inlineStr">
        <is>
          <t>12 U.S.C. 1715z-13b(c)(1) — loans only to Native Hawaiian families, DHHL, OHA, or experienced nonprofits; no income limit. 24 CFR part 1007.</t>
        </is>
      </c>
    </row>
    <row r="65" ht="33" customHeight="1">
      <c r="A65" s="43" t="inlineStr">
        <is>
          <t>Native Hawaiian Housing Block Grant (NHHBG) Program</t>
        </is>
      </c>
      <c r="B65" s="44" t="inlineStr">
        <is>
          <t>Include</t>
        </is>
      </c>
      <c r="C65" s="43" t="inlineStr">
        <is>
          <t>I – Household income eligibility test</t>
        </is>
      </c>
      <c r="D65" s="43" t="inlineStr">
        <is>
          <t>25 U.S.C. 4221 et seq. (NAHASDA Title VIII: assistance for low-income Native Hawaiian families); 24 CFR 1006.10 (income definitions).</t>
        </is>
      </c>
    </row>
    <row r="66" ht="33" customHeight="1">
      <c r="A66" s="43" t="inlineStr">
        <is>
          <t>Tribal Housing Activities Loan Guarantee Program (Title VI)</t>
        </is>
      </c>
      <c r="B66" s="44" t="inlineStr">
        <is>
          <t>Include</t>
        </is>
      </c>
      <c r="C66" s="43" t="inlineStr">
        <is>
          <t>I – Household income eligibility test</t>
        </is>
      </c>
      <c r="D66" s="43" t="inlineStr">
        <is>
          <t>25 U.S.C. 4191 et seq.; 24 CFR part 1000, subpart E — guarantees finance NAHASDA affordable housing activities for low-income families, so the IHBG income rule applies (25 U.S.C. 4103(9)).</t>
        </is>
      </c>
    </row>
    <row r="67" ht="63" customHeight="1">
      <c r="A67" s="43" t="inlineStr">
        <is>
          <t>Equal Opportunity and Nondiscrimination Requirements for HUD-Assisted Programs (Title VI, Section 504, Americans with Disabilities Act, Section 109, Age Discrimination Act, and Title IX)</t>
        </is>
      </c>
      <c r="B67" s="44" t="inlineStr">
        <is>
          <t>Exclude</t>
        </is>
      </c>
      <c r="C67" s="43" t="inlineStr">
        <is>
          <t>X2 – Regulatory or civil-rights requirement</t>
        </is>
      </c>
      <c r="D67" s="43" t="inlineStr">
        <is>
          <t>Civil Rights Act Title VI (42 U.S.C. 2000d), Section 504 (29 U.S.C. 794), HCDA §109 (42 U.S.C. 5309), Age Discrimination Act, ADA, Title IX; 24 CFR parts 1, 6, 8, 146 — nondiscrimination duties on recipients; no assistance.</t>
        </is>
      </c>
    </row>
    <row r="68" ht="33" customHeight="1">
      <c r="A68" s="43" t="inlineStr">
        <is>
          <t>Fair Housing Act (Title VIII)</t>
        </is>
      </c>
      <c r="B68" s="44" t="inlineStr">
        <is>
          <t>Exclude</t>
        </is>
      </c>
      <c r="C68" s="43" t="inlineStr">
        <is>
          <t>X2 – Regulatory or civil-rights requirement</t>
        </is>
      </c>
      <c r="D68" s="43" t="inlineStr">
        <is>
          <t>42 U.S.C. 3601 et seq.; 24 CFR parts 100, 103, 180 — prohibits housing discrimination and sets enforcement procedures; no assistance.</t>
        </is>
      </c>
    </row>
    <row r="69" ht="33" customHeight="1">
      <c r="A69" s="43" t="inlineStr">
        <is>
          <t>Fair Housing Assistance Program (FHAP)</t>
        </is>
      </c>
      <c r="B69" s="44" t="inlineStr">
        <is>
          <t>Exclude</t>
        </is>
      </c>
      <c r="C69" s="43" t="inlineStr">
        <is>
          <t>X1 – No assistance to households</t>
        </is>
      </c>
      <c r="D69" s="43" t="inlineStr">
        <is>
          <t>42 U.S.C. 3610(f), 3616; 24 CFR part 115 — funds State and local agencies whose fair housing laws HUD certifies as substantially equivalent. Programs of HUD 2025 (PDF p. 82).</t>
        </is>
      </c>
    </row>
    <row r="70" ht="33" customHeight="1">
      <c r="A70" s="43" t="inlineStr">
        <is>
          <t>Fair Housing Initiatives Program (FHIP)</t>
        </is>
      </c>
      <c r="B70" s="44" t="inlineStr">
        <is>
          <t>Exclude</t>
        </is>
      </c>
      <c r="C70" s="43" t="inlineStr">
        <is>
          <t>X1 – No assistance to households</t>
        </is>
      </c>
      <c r="D70" s="43" t="inlineStr">
        <is>
          <t>42 U.S.C. 3616a; 24 CFR part 125 (e.g., 125.103, qualified fair housing enforcement organizations) — grants to private fair housing organizations and other groups.</t>
        </is>
      </c>
    </row>
    <row r="71" ht="33" customHeight="1">
      <c r="A71" s="43" t="inlineStr">
        <is>
          <t>Policy Development and Research Initiatives</t>
        </is>
      </c>
      <c r="B71" s="44" t="inlineStr">
        <is>
          <t>Exclude</t>
        </is>
      </c>
      <c r="C71" s="43" t="inlineStr">
        <is>
          <t>X1 – No assistance to households</t>
        </is>
      </c>
      <c r="D71" s="43" t="inlineStr">
        <is>
          <t>12 U.S.C. 1701z-1 et seq. — research, evaluation, and demonstrations; awards go to researchers and organizations. Programs of HUD 2025 (PDF p. 85).</t>
        </is>
      </c>
    </row>
    <row r="72" ht="33" customHeight="1">
      <c r="A72" s="43" t="inlineStr">
        <is>
          <t>Community Compass Technical Assistance and Capacity Building Program</t>
        </is>
      </c>
      <c r="B72" s="44" t="inlineStr">
        <is>
          <t>Exclude</t>
        </is>
      </c>
      <c r="C72" s="43" t="inlineStr">
        <is>
          <t>X1 – No assistance to households</t>
        </is>
      </c>
      <c r="D72" s="43" t="inlineStr">
        <is>
          <t>42 U.S.C. 1437d(j)(3); McKinney-Vento §§405, 491; PL 118-42 — technical assistance and capacity building for HUD grantees. Programs of HUD 2025 (PDF p. 86).</t>
        </is>
      </c>
    </row>
    <row r="73" ht="33" customHeight="1">
      <c r="A73" s="43" t="inlineStr">
        <is>
          <t>Distressed Cities and Persistent Poverty Technical Assistance (DCTA) Program</t>
        </is>
      </c>
      <c r="B73" s="44" t="inlineStr">
        <is>
          <t>Exclude</t>
        </is>
      </c>
      <c r="C73" s="43" t="inlineStr">
        <is>
          <t>X1 – No assistance to households</t>
        </is>
      </c>
      <c r="D73" s="43" t="inlineStr">
        <is>
          <t>PL 118-42 (annual appropriations) — technical assistance to local governments in distressed cities and persistent-poverty areas. Programs of HUD 2025 (PDF p. 87).</t>
        </is>
      </c>
    </row>
    <row r="74" ht="33" customHeight="1">
      <c r="A74" s="43" t="inlineStr">
        <is>
          <t>Thriving Communities Technical Assistance Program</t>
        </is>
      </c>
      <c r="B74" s="44" t="inlineStr">
        <is>
          <t>Exclude</t>
        </is>
      </c>
      <c r="C74" s="43" t="inlineStr">
        <is>
          <t>X1 – No assistance to households</t>
        </is>
      </c>
      <c r="D74" s="43" t="inlineStr">
        <is>
          <t>PL 118-42 (annual appropriations) — technical assistance to local governments for infrastructure and housing planning. Programs of HUD 2025 (PDF p. 88).</t>
        </is>
      </c>
    </row>
    <row r="75" ht="63" customHeight="1">
      <c r="A75" s="43" t="inlineStr">
        <is>
          <t>Eviction Protection Grant Program (EPGP)</t>
        </is>
      </c>
      <c r="B75" s="44" t="inlineStr">
        <is>
          <t>Include</t>
        </is>
      </c>
      <c r="C75" s="43" t="inlineStr">
        <is>
          <t>I – Household income eligibility test</t>
        </is>
      </c>
      <c r="D75" s="43" t="inlineStr">
        <is>
          <t>PL 118-42 (annual appropriations) — legal assistance for low-income tenants at risk of or subject to eviction. EPGP Policy Guidance 2024-01 (June 13, 2024): 'low-income' is defined in the NOFO; grantees may verify by verbal screening, written attestation, or area income data, and HUD prescribes no income definition.</t>
        </is>
      </c>
    </row>
    <row r="76" ht="33" customHeight="1">
      <c r="A76" s="43" t="inlineStr">
        <is>
          <t>Davis-Bacon and Labor Standards</t>
        </is>
      </c>
      <c r="B76" s="44" t="inlineStr">
        <is>
          <t>Exclude</t>
        </is>
      </c>
      <c r="C76" s="43" t="inlineStr">
        <is>
          <t>X2 – Regulatory or civil-rights requirement</t>
        </is>
      </c>
      <c r="D76" s="43" t="inlineStr">
        <is>
          <t>40 U.S.C. 3141 et seq. (Davis-Bacon); 29 U.S.C. 201 et seq.; 40 U.S.C. 3701 et seq. — labor standards on HUD-assisted construction; no assistance to households.</t>
        </is>
      </c>
    </row>
    <row r="77" ht="63" customHeight="1">
      <c r="A77" s="43" t="inlineStr">
        <is>
          <t>Economic Opportunities for Low- and Very-Low Income Persons (Section 3)</t>
        </is>
      </c>
      <c r="B77" s="44" t="inlineStr">
        <is>
          <t>Unclear</t>
        </is>
      </c>
      <c r="C77" s="43" t="inlineStr">
        <is>
          <t>U2 – Indirect income targeting</t>
        </is>
      </c>
      <c r="D77" s="43" t="inlineStr">
        <is>
          <t>12 U.S.C. 1701u; 24 CFR 75.5, 75.31(b) — a hiring and contracting preference, not housing assistance. 'Section 3 workers' are low- or very low-income under 1937 Act limits, documented by self-certification of income below the limit, participation in a means-tested program, or employer certification; no income definition is prescribed.</t>
        </is>
      </c>
    </row>
    <row r="78" ht="33" customHeight="1">
      <c r="A78" s="43" t="inlineStr">
        <is>
          <t>Ginnie Mae Single-Class Mortgage-Backed Securities</t>
        </is>
      </c>
      <c r="B78" s="44" t="inlineStr">
        <is>
          <t>Exclude</t>
        </is>
      </c>
      <c r="C78" s="43" t="inlineStr">
        <is>
          <t>X1 – No assistance to households</t>
        </is>
      </c>
      <c r="D78" s="43" t="inlineStr">
        <is>
          <t>12 U.S.C. 1721(g); 24 CFR part 320 — guaranty of securities backed by federally insured or guaranteed loans; serves issuers and investors, not households.</t>
        </is>
      </c>
    </row>
    <row r="79" ht="33" customHeight="1">
      <c r="A79" s="43" t="inlineStr">
        <is>
          <t>Ginnie Mae Multiclass Securities</t>
        </is>
      </c>
      <c r="B79" s="44" t="inlineStr">
        <is>
          <t>Exclude</t>
        </is>
      </c>
      <c r="C79" s="43" t="inlineStr">
        <is>
          <t>X1 – No assistance to households</t>
        </is>
      </c>
      <c r="D79" s="43" t="inlineStr">
        <is>
          <t>12 U.S.C. 1721(g); 24 CFR part 330 — multiclass securities guaranty; serves issuers and investors, not households.</t>
        </is>
      </c>
    </row>
    <row r="80" ht="63" customHeight="1">
      <c r="A80" s="43" t="inlineStr">
        <is>
          <t>Lead Hazard Control and Healthy Homes Program</t>
        </is>
      </c>
      <c r="B80" s="44" t="inlineStr">
        <is>
          <t>Include</t>
        </is>
      </c>
      <c r="C80" s="43" t="inlineStr">
        <is>
          <t>I – Household income eligibility test</t>
        </is>
      </c>
      <c r="D80" s="43" t="inlineStr">
        <is>
          <t>42 U.S.C. 4852 — assisted owner-occupied units must house families at or below 80% AMI; in assisted rental housing at least half the units go to families at or below 50% AMI and the rest at or below 80%. The income definition is set by each NOFO. Technical studies and capacity-building grants (AL 14.902, 14.906, 14.912) don't serve households.</t>
        </is>
      </c>
    </row>
    <row r="81" ht="48" customHeight="1">
      <c r="A81" s="43" t="inlineStr">
        <is>
          <t>Low Income Housing Tax Credit Pilot (Tax Credit Pilot)</t>
        </is>
      </c>
      <c r="B81" s="44" t="inlineStr">
        <is>
          <t>Exclude</t>
        </is>
      </c>
      <c r="C81" s="43" t="inlineStr">
        <is>
          <t>X1 – No assistance to households</t>
        </is>
      </c>
      <c r="D81" s="43" t="inlineStr">
        <is>
          <t>HERA (PL 110-289) pilot; Mortgagee Letter 2019-03 — streamlines FHA mortgage insurance for projects with LIHTC equity. Tenant income limits come from IRC §42 (26 U.S.C. 42), administered by IRS and State agencies, not from this HUD program. Programs of HUD 2025 (PDF p. 97).</t>
        </is>
      </c>
    </row>
    <row r="82" ht="48" customHeight="1">
      <c r="A82" s="43" t="inlineStr">
        <is>
          <t>Rental Assistance Demonstration (RAD)</t>
        </is>
      </c>
      <c r="B82" s="44" t="inlineStr">
        <is>
          <t>Include</t>
        </is>
      </c>
      <c r="C82" s="43" t="inlineStr">
        <is>
          <t>I – Household income eligibility test</t>
        </is>
      </c>
      <c r="D82" s="43" t="inlineStr">
        <is>
          <t>PL 112-55, Div. C, Title II; RAD Notice H-2023-08 / PIH-2023-19 — converted units become PBV (24 CFR part 983) or PBRA, and new admissions are income-tested under those rules (residents in place at conversion aren't rescreened).</t>
        </is>
      </c>
    </row>
    <row r="83" ht="33" customHeight="1">
      <c r="A83" s="43" t="inlineStr">
        <is>
          <t>Tribal HUD-VASH</t>
        </is>
      </c>
      <c r="B83" s="44" t="inlineStr">
        <is>
          <t>Include</t>
        </is>
      </c>
      <c r="C83" s="43" t="inlineStr">
        <is>
          <t>I – Household income eligibility test</t>
        </is>
      </c>
      <c r="D83" s="43" t="inlineStr">
        <is>
          <t>Annual appropriations since PL 113-235 (FY2015); 25 U.S.C. 4103(9)(C); 24 CFR 1000.10; HUD FY25 Tribal HUD-VASH FAQs (June 2025, Q14–Q15) — chapter 11 compensation and chapter 13 DIC excluded.</t>
        </is>
      </c>
    </row>
    <row r="84" ht="33" customHeight="1">
      <c r="A84" s="43" t="inlineStr">
        <is>
          <t>Youth Homelessness Demonstration Program</t>
        </is>
      </c>
      <c r="B84" s="44" t="inlineStr">
        <is>
          <t>Unclear</t>
        </is>
      </c>
      <c r="C84" s="43" t="inlineStr">
        <is>
          <t>U1 – Income sets payments only</t>
        </is>
      </c>
      <c r="D84" s="43" t="inlineStr">
        <is>
          <t>Annual appropriations since PL 114-113 (FY2016); projects follow 24 CFR part 578 — eligibility rests on youth homelessness, not income; rent or occupancy charges use 24 CFR 5.609 (578.77).</t>
        </is>
      </c>
    </row>
    <row r="85" ht="33" customHeight="1">
      <c r="A85" s="43" t="inlineStr">
        <is>
          <t>Mobility Demonstration (Community Choice Demonstration)</t>
        </is>
      </c>
      <c r="B85" s="44" t="inlineStr">
        <is>
          <t>Exclude</t>
        </is>
      </c>
      <c r="C85" s="43" t="inlineStr">
        <is>
          <t>X4 – Already income-qualified under a listed program</t>
        </is>
      </c>
      <c r="D85" s="43" t="inlineStr">
        <is>
          <t>PL 116-6 and PL 116-94 — mobility services for families with housing choice vouchers; families are income-qualified under HCV rules (24 CFR 982.201).</t>
        </is>
      </c>
    </row>
    <row r="86" ht="33" customHeight="1">
      <c r="A86" s="43" t="inlineStr">
        <is>
          <t>Recovery Housing Program (RHP)</t>
        </is>
      </c>
      <c r="B86" s="44" t="inlineStr">
        <is>
          <t>Include</t>
        </is>
      </c>
      <c r="C86" s="43" t="inlineStr">
        <is>
          <t>I – Household income eligibility test</t>
        </is>
      </c>
      <c r="D86" s="43" t="inlineStr">
        <is>
          <t>SUPPORT Act §8071 (PL 115-271) — RHP funds are treated as CDBG funds under HCDA Title I; 42 U.S.C. 5302(a)(20); 24 CFR 570.3.</t>
        </is>
      </c>
    </row>
    <row r="87" ht="63" customHeight="1">
      <c r="A87" s="43" t="inlineStr">
        <is>
          <t>American Rescue Plan Act of 2021</t>
        </is>
      </c>
      <c r="B87" s="44" t="inlineStr">
        <is>
          <t>Include</t>
        </is>
      </c>
      <c r="C87" s="43" t="inlineStr">
        <is>
          <t>I – Household income eligibility test</t>
        </is>
      </c>
      <c r="D87" s="43" t="inlineStr">
        <is>
          <t>PL 117-2: §3202 Emergency Housing Vouchers (HCV income rules; Notice PIH 2021-15); §3205 HOME-ARP (qualifying populations; 'at risk of homelessness' requires income at or below 30% AMI; Notice CPD-21-10); §11003 supplements to IHBG, NHHBG, and ICDBG (those programs' rules). §3208 fair housing funds have no household test.</t>
        </is>
      </c>
    </row>
    <row r="88" ht="33" customHeight="1">
      <c r="A88" s="43" t="inlineStr">
        <is>
          <t>Green and Resilient Retrofit Program (GRRP)</t>
        </is>
      </c>
      <c r="B88" s="44" t="inlineStr">
        <is>
          <t>Exclude</t>
        </is>
      </c>
      <c r="C88" s="43" t="inlineStr">
        <is>
          <t>X4 – Already income-qualified under a listed program</t>
        </is>
      </c>
      <c r="D88" s="43" t="inlineStr">
        <is>
          <t>Inflation Reduction Act §30002 (PL 117-169) — grants and loans to owners of HUD-assisted multifamily properties; tenants are income-qualified under Section 8, 202, or 811 rules.</t>
        </is>
      </c>
    </row>
    <row r="89" ht="48" customHeight="1">
      <c r="A89" s="43" t="inlineStr">
        <is>
          <t>Preservation And Reinvestment Initiative for Community Enhancement (PRICE)</t>
        </is>
      </c>
      <c r="B89" s="44" t="inlineStr">
        <is>
          <t>Include</t>
        </is>
      </c>
      <c r="C89" s="43" t="inlineStr">
        <is>
          <t>I – Household income eligibility test</t>
        </is>
      </c>
      <c r="D89" s="43" t="inlineStr">
        <is>
          <t>Consolidated Appropriations Act, 2023 (PL 117-328) — PRICE funds are CDBG funds for manufactured housing; activities benefiting low/mod households use CDBG income rules (42 U.S.C. 5302(a)(20); 24 CFR 570.3).</t>
        </is>
      </c>
    </row>
    <row r="90" ht="48" customHeight="1">
      <c r="A90" s="43" t="inlineStr">
        <is>
          <t>Pathways to Removing Obstacles to Housing (PRO Housing)</t>
        </is>
      </c>
      <c r="B90" s="44" t="inlineStr">
        <is>
          <t>Include</t>
        </is>
      </c>
      <c r="C90" s="43" t="inlineStr">
        <is>
          <t>I – Household income eligibility test</t>
        </is>
      </c>
      <c r="D90" s="43" t="inlineStr">
        <is>
          <t>Consolidated Appropriations Act, 2023 (PL 117-328) — PRO Housing funds are CDBG funds. Most awards pay for planning and policy work with no household test, but any activity that directly benefits low/mod households uses CDBG income rules (42 U.S.C. 5302(a)(20)).</t>
        </is>
      </c>
    </row>
    <row r="91" ht="33" customHeight="1">
      <c r="A91" s="43" t="inlineStr">
        <is>
          <t>NeighborWorks America</t>
        </is>
      </c>
      <c r="B91" s="44" t="inlineStr">
        <is>
          <t>Exclude</t>
        </is>
      </c>
      <c r="C91" s="43" t="inlineStr">
        <is>
          <t>X1 – No assistance to households</t>
        </is>
      </c>
      <c r="D91" s="43" t="inlineStr">
        <is>
          <t>42 U.S.C. 8101 et seq. — NeighborWorks America is an independent congressionally chartered corporation that funds its network organizations; it is funded as a related agency, not administered by HUD.</t>
        </is>
      </c>
    </row>
    <row r="92" ht="33" customHeight="1">
      <c r="A92" s="43" t="inlineStr">
        <is>
          <t>U.S. Interagency Council on Homelessness</t>
        </is>
      </c>
      <c r="B92" s="44" t="inlineStr">
        <is>
          <t>Exclude</t>
        </is>
      </c>
      <c r="C92" s="43" t="inlineStr">
        <is>
          <t>X1 – No assistance to households</t>
        </is>
      </c>
      <c r="D92" s="43" t="inlineStr">
        <is>
          <t>42 U.S.C. 11311 et seq. — independent federal council that coordinates homelessness policy; provides no assistance.</t>
        </is>
      </c>
    </row>
    <row r="93" ht="33" customHeight="1">
      <c r="A93" s="43" t="inlineStr">
        <is>
          <t>EnVision Center Demonstration</t>
        </is>
      </c>
      <c r="B93" s="44" t="inlineStr">
        <is>
          <t>Exclude</t>
        </is>
      </c>
      <c r="C93" s="43" t="inlineStr">
        <is>
          <t>X4 – Already income-qualified under a listed program</t>
        </is>
      </c>
      <c r="D93" s="43" t="inlineStr">
        <is>
          <t>HUD demonstration (no new applications since January 2021) co-locating services for HUD-assisted households; no eligibility rule of its own. Programs of HUD 2025 (PDF p. 104).</t>
        </is>
      </c>
    </row>
    <row r="94" ht="33" customHeight="1">
      <c r="A94" s="43" t="inlineStr">
        <is>
          <t>Community Development Block Grant CARES Act (CDBG-CV)</t>
        </is>
      </c>
      <c r="B94" s="44" t="inlineStr">
        <is>
          <t>Include</t>
        </is>
      </c>
      <c r="C94" s="43" t="inlineStr">
        <is>
          <t>I – Household income eligibility test</t>
        </is>
      </c>
      <c r="D94" s="43" t="inlineStr">
        <is>
          <t>CARES Act (PL 116-136) — CDBG-CV funds follow HCDA Title I and 24 CFR part 570 (with waivers), including the low/mod income rules (42 U.S.C. 5302(a)(20); 24 CFR 570.3). Inactive: no new funds.</t>
        </is>
      </c>
    </row>
    <row r="95" ht="63" customHeight="1">
      <c r="A95" s="43" t="inlineStr">
        <is>
          <t>Economic Development Initiative (“Competitive EDI”) Grants</t>
        </is>
      </c>
      <c r="B95" s="44" t="inlineStr">
        <is>
          <t>Exclude</t>
        </is>
      </c>
      <c r="C95" s="43" t="inlineStr">
        <is>
          <t>X5 – Runs through another listed program</t>
        </is>
      </c>
      <c r="D95" s="43" t="inlineStr">
        <is>
          <t>Inactive. Grants enhanced the security of Section 108-guaranteed loans or the viability of the same Section 108 projects, so any household benefit falls under the Section 108 row. Programs of HUD 2025 (PDF p. 104). Note: AL 14.251 also covers Community Project Funding earmarks; any income terms there are set project by project (not checked).</t>
        </is>
      </c>
    </row>
    <row r="96" ht="33" customHeight="1">
      <c r="A96" s="43" t="inlineStr">
        <is>
          <t>Resident Opportunity and Self-Sufficiency (ROSS) for Education Program</t>
        </is>
      </c>
      <c r="B96" s="44" t="inlineStr">
        <is>
          <t>Exclude</t>
        </is>
      </c>
      <c r="C96" s="43" t="inlineStr">
        <is>
          <t>X4 – Already income-qualified under a listed program</t>
        </is>
      </c>
      <c r="D96" s="43" t="inlineStr">
        <is>
          <t>Inactive (2016 demonstration, Project SOAR) — education navigators for youth in public housing, already income-qualified under public housing rules. Programs of HUD 2025 (PDF p. 104).</t>
        </is>
      </c>
    </row>
    <row r="97" ht="48" customHeight="1">
      <c r="A97" s="43" t="inlineStr">
        <is>
          <t>Rural Housing Stability Assistance Program</t>
        </is>
      </c>
      <c r="B97" s="44" t="inlineStr">
        <is>
          <t>Exclude</t>
        </is>
      </c>
      <c r="C97" s="43" t="inlineStr">
        <is>
          <t>X5 – Runs through another listed program</t>
        </is>
      </c>
      <c r="D97" s="43" t="inlineStr">
        <is>
          <t>42 U.S.C. 11408 targets people who are homeless or in the 'worst housing situations,' with no numeric income test. HUD allocates RHSP appropriations to the Continuum of Care program, so the CoC row covers it. Programs of HUD 2025 (PDF p. 104).</t>
        </is>
      </c>
    </row>
    <row r="98" ht="48" customHeight="1">
      <c r="A98" s="43" t="inlineStr">
        <is>
          <t>Veterans Housing Rehabilitation and Modification Pilot Program (VHRMP)</t>
        </is>
      </c>
      <c r="B98" s="44" t="inlineStr">
        <is>
          <t>Include</t>
        </is>
      </c>
      <c r="C98" s="43" t="inlineStr">
        <is>
          <t>I – Household income eligibility test</t>
        </is>
      </c>
      <c r="D98" s="43" t="inlineStr">
        <is>
          <t>NDAA FY2015 §1079 (PL 113-291) — rehabilitation and modification of homes of low-income veterans with disabilities; at or below 80% AMI per HUD's notice (FR Doc. 2017-14630, July 12, 2017). Funded through FY2023; neither source defines income.</t>
        </is>
      </c>
    </row>
    <row r="99" ht="33" customHeight="1">
      <c r="A99" s="43" t="inlineStr">
        <is>
          <t>Juvenile Reentry Assistance Program</t>
        </is>
      </c>
      <c r="B99" s="44" t="inlineStr">
        <is>
          <t>Exclude</t>
        </is>
      </c>
      <c r="C99" s="43" t="inlineStr">
        <is>
          <t>X4 – Already income-qualified under a listed program</t>
        </is>
      </c>
      <c r="D99" s="43" t="inlineStr">
        <is>
          <t>Inactive (expired 2019) — DOJ-funded legal help for youth in public or Section 8 housing (or who would be but for a record); no income rule of its own. Programs of HUD 2025 (PDF p. 105).</t>
        </is>
      </c>
    </row>
    <row r="100" ht="33" customHeight="1">
      <c r="A100" s="43" t="inlineStr">
        <is>
          <t>FHA-Home Affordable Modification Program (FHA-HAMP)</t>
        </is>
      </c>
      <c r="B100" s="44" t="inlineStr">
        <is>
          <t>Exclude</t>
        </is>
      </c>
      <c r="C100" s="43" t="inlineStr">
        <is>
          <t>X3 – No income ceiling</t>
        </is>
      </c>
      <c r="D100" s="43" t="inlineStr">
        <is>
          <t>Inactive FHA loss-mitigation option (loan modification plus partial claim) for borrowers in default; income set the target payment, not an eligibility ceiling. Programs of HUD 2025 (PDF p. 105).</t>
        </is>
      </c>
    </row>
    <row r="101" ht="33" customHeight="1">
      <c r="A101" s="43" t="inlineStr">
        <is>
          <t>Mortgage Insurance for Manufactured Home Parks (Section 207)</t>
        </is>
      </c>
      <c r="B101" s="44" t="inlineStr">
        <is>
          <t>Exclude</t>
        </is>
      </c>
      <c r="C101" s="43" t="inlineStr">
        <is>
          <t>X1 – No assistance to households</t>
        </is>
      </c>
      <c r="D101" s="43" t="inlineStr">
        <is>
          <t>12 U.S.C. 1713; 24 CFR part 207 — insured mortgages on manufactured home parks; no endorsements since 2013. Programs of HUD 2025 (PDF p. 105).</t>
        </is>
      </c>
    </row>
    <row r="102" ht="48" customHeight="1">
      <c r="A102" s="43" t="inlineStr">
        <is>
          <t>Congregate Housing Services Program (CHSP)</t>
        </is>
      </c>
      <c r="B102" s="44" t="inlineStr">
        <is>
          <t>Unclear</t>
        </is>
      </c>
      <c r="C102" s="43" t="inlineStr">
        <is>
          <t>U1 – Income sets payments only</t>
        </is>
      </c>
      <c r="D102" s="43" t="inlineStr">
        <is>
          <t>42 U.S.C. 8011; 24 CFR 700.125 (eligibility by frailty or disability; priority for very low-income), 700.150 (fees up to 20% of adjusted income). No income eligibility limit, but income sets fees. Only expiring grants are extended.</t>
        </is>
      </c>
    </row>
    <row r="103" ht="48" customHeight="1">
      <c r="A103" s="43" t="inlineStr">
        <is>
          <t>Senior Preservation Rental Assistance Contracts (SPRAC)</t>
        </is>
      </c>
      <c r="B103" s="44" t="inlineStr">
        <is>
          <t>Include</t>
        </is>
      </c>
      <c r="C103" s="43" t="inlineStr">
        <is>
          <t>I – Household income eligibility test</t>
        </is>
      </c>
      <c r="D103" s="43" t="inlineStr">
        <is>
          <t>Section 202 Supportive Housing for the Elderly Act of 2010 (PL 111-372) — 20-year rental assistance contracts for 'currently unassisted income-eligible elderly residents' of Section 202 direct loan properties; 24 CFR 5.601 applies Part 5 income rules to Section 202. Programs of HUD 2025 (PDF p. 105).</t>
        </is>
      </c>
    </row>
    <row r="104" ht="33" customHeight="1">
      <c r="A104" s="43" t="inlineStr">
        <is>
          <t>Supportive Services Demonstration (IWISH)</t>
        </is>
      </c>
      <c r="B104" s="44" t="inlineStr">
        <is>
          <t>Exclude</t>
        </is>
      </c>
      <c r="C104" s="43" t="inlineStr">
        <is>
          <t>X4 – Already income-qualified under a listed program</t>
        </is>
      </c>
      <c r="D104" s="43" t="inlineStr">
        <is>
          <t>Inactive (last NOFO FY2015) — wellness staff at HUD-assisted elderly properties whose residents are income-qualified under Section 8 and 202 rules. Programs of HUD 2025 (PDF p. 105).</t>
        </is>
      </c>
    </row>
    <row r="105" ht="19.5" customHeight="1">
      <c r="A105" s="41" t="inlineStr">
        <is>
          <t>FPI LISTINGS NOT IN PROGRAMS OF HUD (13) — names as listed in the Federal Program Inventory</t>
        </is>
      </c>
      <c r="B105" s="42" t="n"/>
      <c r="C105" s="42" t="n"/>
      <c r="D105" s="42" t="n"/>
    </row>
    <row r="106" ht="33" customHeight="1">
      <c r="A106" s="43" t="inlineStr">
        <is>
          <t>Mortgage Insurance Homes in Urban Renewal Areas</t>
        </is>
      </c>
      <c r="B106" s="44" t="inlineStr">
        <is>
          <t>Exclude</t>
        </is>
      </c>
      <c r="C106" s="43" t="inlineStr">
        <is>
          <t>X3 – No income ceiling</t>
        </is>
      </c>
      <c r="D106" s="43" t="inlineStr">
        <is>
          <t>AL 14.122; 12 U.S.C. 1715k — FHA single-family insurance in urban renewal areas; standard FHA underwriting, no income ceiling.</t>
        </is>
      </c>
    </row>
    <row r="107" ht="33" customHeight="1">
      <c r="A107" s="43" t="inlineStr">
        <is>
          <t>Mortgage Insurance Purchase of Units in Condominiums</t>
        </is>
      </c>
      <c r="B107" s="44" t="inlineStr">
        <is>
          <t>Exclude</t>
        </is>
      </c>
      <c r="C107" s="43" t="inlineStr">
        <is>
          <t>X3 – No income ceiling</t>
        </is>
      </c>
      <c r="D107" s="43" t="inlineStr">
        <is>
          <t>AL 14.133; 12 U.S.C. 1715y — FHA insurance for condominium units; standard FHA underwriting, no income ceiling.</t>
        </is>
      </c>
    </row>
    <row r="108" ht="33" customHeight="1">
      <c r="A108" s="43" t="inlineStr">
        <is>
          <t>Section 8 Moderate Rehabilitation Single Room Occupancy</t>
        </is>
      </c>
      <c r="B108" s="44" t="inlineStr">
        <is>
          <t>Include</t>
        </is>
      </c>
      <c r="C108" s="43" t="inlineStr">
        <is>
          <t>I – Household income eligibility test</t>
        </is>
      </c>
      <c r="D108" s="43" t="inlineStr">
        <is>
          <t>AL 14.249; 42 U.S.C. 1437f and McKinney-Vento SRO authority; 24 CFR part 882, subpart H; 24 CFR 5.609.</t>
        </is>
      </c>
    </row>
    <row r="109" ht="48" customHeight="1">
      <c r="A109" s="43" t="inlineStr">
        <is>
          <t>Neighborhood Stabilization Program (Recovery Act Funded)</t>
        </is>
      </c>
      <c r="B109" s="44" t="inlineStr">
        <is>
          <t>Unclear</t>
        </is>
      </c>
      <c r="C109" s="43" t="inlineStr">
        <is>
          <t>U3 – Legacy or closed-out</t>
        </is>
      </c>
      <c r="D109" s="43" t="inlineStr">
        <is>
          <t>AL 14.256; HERA §2301 (PL 110-289) and ARRA — income ceiling of 120% AMI, with 25% of funds for households at or below 50% AMI. No FY2023–25 obligations in FPI, and whether PL 119-70's change to 42 U.S.C. 5302(a)(20) reaches NSP is unclear.</t>
        </is>
      </c>
    </row>
    <row r="110" ht="18" customHeight="1">
      <c r="A110" s="43" t="inlineStr">
        <is>
          <t>National Homeless Data Analysis Project (NHDAP)</t>
        </is>
      </c>
      <c r="B110" s="44" t="inlineStr">
        <is>
          <t>Exclude</t>
        </is>
      </c>
      <c r="C110" s="43" t="inlineStr">
        <is>
          <t>X1 – No assistance to households</t>
        </is>
      </c>
      <c r="D110" s="43" t="inlineStr">
        <is>
          <t>AL 14.261 — funds to improve homelessness data collection and analysis (HMIS); no household assistance.</t>
        </is>
      </c>
    </row>
    <row r="111" ht="33" customHeight="1">
      <c r="A111" s="43" t="inlineStr">
        <is>
          <t>Youth Homeless System Improvement Grants</t>
        </is>
      </c>
      <c r="B111" s="44" t="inlineStr">
        <is>
          <t>Exclude</t>
        </is>
      </c>
      <c r="C111" s="43" t="inlineStr">
        <is>
          <t>X1 – No assistance to households</t>
        </is>
      </c>
      <c r="D111" s="43" t="inlineStr">
        <is>
          <t>AL 14.277 — grants to communities to build youth homelessness response systems; no direct household eligibility test.</t>
        </is>
      </c>
    </row>
    <row r="112" ht="48" customHeight="1">
      <c r="A112" s="43" t="inlineStr">
        <is>
          <t>Dollar Home Sales</t>
        </is>
      </c>
      <c r="B112" s="44" t="inlineStr">
        <is>
          <t>Unclear</t>
        </is>
      </c>
      <c r="C112" s="43" t="inlineStr">
        <is>
          <t>U2 – Indirect income targeting</t>
        </is>
      </c>
      <c r="D112" s="43" t="inlineStr">
        <is>
          <t>AL 14.313; 12 U.S.C. 1710(g); 24 CFR part 291 — HUD-owned homes sold to local governments for $1 to foster housing for low- to moderate-income families; any income limit is applied by the government buyer (not checked).</t>
        </is>
      </c>
    </row>
    <row r="113" ht="33" customHeight="1">
      <c r="A113" s="43" t="inlineStr">
        <is>
          <t>Performance Based Contract Administrator Program</t>
        </is>
      </c>
      <c r="B113" s="44" t="inlineStr">
        <is>
          <t>Exclude</t>
        </is>
      </c>
      <c r="C113" s="43" t="inlineStr">
        <is>
          <t>X1 – No assistance to households</t>
        </is>
      </c>
      <c r="D113" s="43" t="inlineStr">
        <is>
          <t>AL 14.327; 42 U.S.C. 1437f(b) — payments to contract administrators that oversee project-based Section 8 contracts; tenants are income-qualified under PBRA rules.</t>
        </is>
      </c>
    </row>
    <row r="114" ht="33" customHeight="1">
      <c r="A114" s="43" t="inlineStr">
        <is>
          <t>Lower Income Housing Assistance Program Section 8 Moderate Rehabilitation</t>
        </is>
      </c>
      <c r="B114" s="44" t="inlineStr">
        <is>
          <t>Include</t>
        </is>
      </c>
      <c r="C114" s="43" t="inlineStr">
        <is>
          <t>I – Household income eligibility test</t>
        </is>
      </c>
      <c r="D114" s="43" t="inlineStr">
        <is>
          <t>AL 14.856; 42 U.S.C. 1437f; 24 CFR part 882; 24 CFR 5.601, 5.609.</t>
        </is>
      </c>
    </row>
    <row r="115" ht="33" customHeight="1">
      <c r="A115" s="43" t="inlineStr">
        <is>
          <t>Demolition and Revitalization of Severely Distressed Public Housing</t>
        </is>
      </c>
      <c r="B115" s="44" t="inlineStr">
        <is>
          <t>Exclude</t>
        </is>
      </c>
      <c r="C115" s="43" t="inlineStr">
        <is>
          <t>X4 – Already income-qualified under a listed program</t>
        </is>
      </c>
      <c r="D115" s="43" t="inlineStr">
        <is>
          <t>AL 14.866; 42 U.S.C. 1437v — HOPE VI revitalization grants to PHAs; replacement units follow public housing or voucher income rules.</t>
        </is>
      </c>
    </row>
    <row r="116" ht="48" customHeight="1">
      <c r="A116" s="43" t="inlineStr">
        <is>
          <t>Affordable Housing Development in Main Street Rejuvenation Projects</t>
        </is>
      </c>
      <c r="B116" s="44" t="inlineStr">
        <is>
          <t>Unclear</t>
        </is>
      </c>
      <c r="C116" s="43" t="inlineStr">
        <is>
          <t>U4 – Income test not yet confirmed</t>
        </is>
      </c>
      <c r="D116" s="43" t="inlineStr">
        <is>
          <t>AL 14.878; 42 U.S.C. 1437v — Main Street grants convert downtown commercial space to affordable units in small communities. FPI shows $2M reported for FY2024; the tenant income rule wasn't located (check the NOFO).</t>
        </is>
      </c>
    </row>
    <row r="117" ht="33" customHeight="1">
      <c r="A117" s="43" t="inlineStr">
        <is>
          <t>Mainstream Vouchers</t>
        </is>
      </c>
      <c r="B117" s="44" t="inlineStr">
        <is>
          <t>Include</t>
        </is>
      </c>
      <c r="C117" s="43" t="inlineStr">
        <is>
          <t>I – Household income eligibility test</t>
        </is>
      </c>
      <c r="D117" s="43" t="inlineStr">
        <is>
          <t>AL 14.879; 42 U.S.C. 8013 (Section 811 tenant-based assistance), administered under HCV rules: 24 CFR 982.201, 5.609.</t>
        </is>
      </c>
    </row>
    <row r="118" ht="33" customHeight="1">
      <c r="A118" s="43" t="inlineStr">
        <is>
          <t>Family Unification Program (FUP)</t>
        </is>
      </c>
      <c r="B118" s="44" t="inlineStr">
        <is>
          <t>Include</t>
        </is>
      </c>
      <c r="C118" s="43" t="inlineStr">
        <is>
          <t>I – Household income eligibility test</t>
        </is>
      </c>
      <c r="D118" s="43" t="inlineStr">
        <is>
          <t>AL 14.880; 42 U.S.C. 1437f(x); 24 CFR 982.201, 5.609 (HCV income rules).</t>
        </is>
      </c>
    </row>
    <row r="119" ht="19.5" customHeight="1">
      <c r="A119" s="41" t="inlineStr">
        <is>
          <t>NOT LISTED SEPARATELY IN EITHER INVENTORY (2) — same as the supplemental rows on Matched Programs</t>
        </is>
      </c>
      <c r="B119" s="42" t="n"/>
      <c r="C119" s="42" t="n"/>
      <c r="D119" s="42" t="n"/>
    </row>
    <row r="120" ht="33" customHeight="1">
      <c r="A120" s="43" t="inlineStr">
        <is>
          <t>Public housing (admissions &amp; occupancy)</t>
        </is>
      </c>
      <c r="B120" s="44" t="inlineStr">
        <is>
          <t>Include</t>
        </is>
      </c>
      <c r="C120" s="43" t="inlineStr">
        <is>
          <t>I – Household income eligibility test</t>
        </is>
      </c>
      <c r="D120" s="43" t="inlineStr">
        <is>
          <t>42 U.S.C. 1437a(b)(2), 1437a(b)(4), 1437n(a); 24 CFR 960.201 (income eligibility at admission); 24 CFR 5.609.</t>
        </is>
      </c>
    </row>
    <row r="121" ht="33" customHeight="1">
      <c r="A121" s="43" t="inlineStr">
        <is>
          <t>HUD-VASH (tenant-based and project-based)</t>
        </is>
      </c>
      <c r="B121" s="44" t="inlineStr">
        <is>
          <t>Include</t>
        </is>
      </c>
      <c r="C121" s="43" t="inlineStr">
        <is>
          <t>I – Household income eligibility test</t>
        </is>
      </c>
      <c r="D121" s="43" t="inlineStr">
        <is>
          <t>42 U.S.C. 1437f(o)(19); 42 U.S.C. 1437a(b)(4)(B)(iv)–(v) (added by PL 119-101 §602, July 11, 2026); earlier 89 FR 65769 (Aug. 13, 2024).</t>
        </is>
      </c>
    </row>
    <row r="122" ht="19.5" customHeight="1">
      <c r="A122" s="41" t="inlineStr">
        <is>
          <t>LEGACY MULTIFAMILY PROGRAMS IN NEITHER INVENTORY (4) — added for completeness; still covered by HUD Handbook 4350.3</t>
        </is>
      </c>
      <c r="B122" s="42" t="n"/>
      <c r="C122" s="42" t="n"/>
      <c r="D122" s="42" t="n"/>
    </row>
    <row r="123" ht="33" customHeight="1">
      <c r="A123" s="43" t="inlineStr">
        <is>
          <t>Section 236 rental housing (interest reduction payments)</t>
        </is>
      </c>
      <c r="B123" s="44" t="inlineStr">
        <is>
          <t>Unclear</t>
        </is>
      </c>
      <c r="C123" s="43" t="inlineStr">
        <is>
          <t>U3 – Legacy or closed-out</t>
        </is>
      </c>
      <c r="D123" s="43" t="inlineStr">
        <is>
          <t>12 U.S.C. 1715z-1; 24 CFR part 236; HUD Handbook 4350.3, ch. 1 — no new commitments for decades, but existing properties still admit and recertify income-eligible tenants.</t>
        </is>
      </c>
    </row>
    <row r="124" ht="33" customHeight="1">
      <c r="A124" s="43" t="inlineStr">
        <is>
          <t>Section 221(d)(3) Below Market Interest Rate (BMIR)</t>
        </is>
      </c>
      <c r="B124" s="44" t="inlineStr">
        <is>
          <t>Unclear</t>
        </is>
      </c>
      <c r="C124" s="43" t="inlineStr">
        <is>
          <t>U3 – Legacy or closed-out</t>
        </is>
      </c>
      <c r="D124" s="43" t="inlineStr">
        <is>
          <t>12 U.S.C. 1715l(d)(3), (d)(5); 24 CFR part 221; HUD Handbook 4350.3, ch. 1 — legacy projects still income-test tenants.</t>
        </is>
      </c>
    </row>
    <row r="125" ht="33" customHeight="1">
      <c r="A125" s="43" t="inlineStr">
        <is>
          <t>Rent Supplement</t>
        </is>
      </c>
      <c r="B125" s="44" t="inlineStr">
        <is>
          <t>Unclear</t>
        </is>
      </c>
      <c r="C125" s="43" t="inlineStr">
        <is>
          <t>U3 – Legacy or closed-out</t>
        </is>
      </c>
      <c r="D125" s="43" t="inlineStr">
        <is>
          <t>12 U.S.C. 1701s; 24 CFR part 215; HUD Handbook 4350.3, ch. 1 — few contracts remain; RAD allows conversion (Programs of HUD 2025, PDF p. 97).</t>
        </is>
      </c>
    </row>
    <row r="126" ht="33" customHeight="1">
      <c r="A126" s="43" t="inlineStr">
        <is>
          <t>Rental Assistance Payment (RAP)</t>
        </is>
      </c>
      <c r="B126" s="44" t="inlineStr">
        <is>
          <t>Unclear</t>
        </is>
      </c>
      <c r="C126" s="43" t="inlineStr">
        <is>
          <t>U3 – Legacy or closed-out</t>
        </is>
      </c>
      <c r="D126" s="43" t="inlineStr">
        <is>
          <t>12 U.S.C. 1715z-1(f)(2); HUD Handbook 4350.3, ch. 1 — legacy Section 236 rental assistance; few contracts remain; RAD allows conversion (Programs of HUD 2025, PDF p. 97).</t>
        </is>
      </c>
    </row>
  </sheetData>
  <autoFilter ref="A1:D126"/>
  <mergeCells count="1">
    <mergeCell ref="F2:I2"/>
  </mergeCells>
  <conditionalFormatting sqref="B3:B126">
    <cfRule type="expression" priority="2" dxfId="3">
      <formula>AND($C3&lt;&gt;"",OR(AND($B3="Include",LEFT($C3,1)&lt;&gt;"I"),AND($B3="Exclude",LEFT($C3,1)&lt;&gt;"X"),AND($B3="Unclear",LEFT($C3,1)&lt;&gt;"U")))</formula>
    </cfRule>
    <cfRule type="cellIs" priority="3" operator="equal" dxfId="2">
      <formula>"Include"</formula>
    </cfRule>
    <cfRule type="cellIs" priority="4" operator="equal" dxfId="1">
      <formula>"Exclude"</formula>
    </cfRule>
    <cfRule type="cellIs" priority="5" operator="equal" dxfId="0">
      <formula>"Unclear"</formula>
    </cfRule>
  </conditionalFormatting>
  <dataValidations count="2">
    <dataValidation sqref="B3:B126" showDropDown="0" showInputMessage="0" showErrorMessage="0" allowBlank="1" error="Pick Include, Exclude, or Unclear (or edit the Lists sheet)." type="list" errorStyle="warning">
      <formula1>Lists!$F$2:$F$4</formula1>
    </dataValidation>
    <dataValidation sqref="C3:C126" showDropDown="0" showInputMessage="0" showErrorMessage="0" allowBlank="1" error="Pick a scope criterion from the list (or edit the Lists sheet)." type="list" errorStyle="warning">
      <formula1>Lists!$G$2:$G$11</formula1>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fitToPage="1"/>
  </sheetPr>
  <dimension ref="A1:H82"/>
  <sheetViews>
    <sheetView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18" customWidth="1" min="2" max="2"/>
    <col width="13" customWidth="1" min="3" max="3"/>
    <col width="32" customWidth="1" min="4" max="4"/>
    <col width="28" customWidth="1" min="5" max="5"/>
    <col width="36" customWidth="1" min="6" max="6"/>
    <col width="50" customWidth="1" min="7" max="7"/>
    <col width="40" customWidth="1" min="8" max="8"/>
  </cols>
  <sheetData>
    <row r="1" ht="46" customHeight="1">
      <c r="A1" s="55" t="inlineStr">
        <is>
          <t>Program</t>
        </is>
      </c>
      <c r="B1" s="55" t="inlineStr">
        <is>
          <t>Component / note</t>
        </is>
      </c>
      <c r="C1" s="55" t="inlineStr">
        <is>
          <t>Scope determination</t>
        </is>
      </c>
      <c r="D1" s="55" t="inlineStr">
        <is>
          <t>Income definition used for eligibility</t>
        </is>
      </c>
      <c r="E1" s="55" t="inlineStr">
        <is>
          <t>Eligibility income limit</t>
        </is>
      </c>
      <c r="F1" s="55" t="inlineStr">
        <is>
          <t>Where the program's rule comes from</t>
        </is>
      </c>
      <c r="G1" s="55" t="inlineStr">
        <is>
          <t>Why it's in this group</t>
        </is>
      </c>
      <c r="H1" s="55" t="inlineStr">
        <is>
          <t>Authorizing law</t>
        </is>
      </c>
    </row>
    <row r="2" ht="31" customHeight="1">
      <c r="A2" s="56" t="inlineStr">
        <is>
          <t>Include and Unclear programs from the Scope Determinations tab (excluded programs removed), grouped by where each program's income definition comes from. 'Scope determination' looks up the current call on that tab and turns red if a program has since been excluded or renamed. The American Rescue Plan row is split into its components because they fall in different groups. Columns G–H explain why each program lands in its group: usually its authorizing law, except where that law routes the money through another program's statute or leaves the income definition to HUD.</t>
        </is>
      </c>
    </row>
    <row r="3" ht="21" customHeight="1">
      <c r="A3" s="57" t="inlineStr">
        <is>
          <t>A. 1937 Act definition, set in statute (Part 5 annual income; no choice)  (12 program rows)</t>
        </is>
      </c>
    </row>
    <row r="4" ht="66" customHeight="1">
      <c r="A4" s="58" t="inlineStr">
        <is>
          <t>Where it comes from: the U.S. Housing Act of 1937 defines income in the statute itself. HOTMA (PL 114-201, 2016) wrote the current definition into 42 U.S.C. 1437a(b)(4); HUD's 2023 HOTMA rule implements it at 24 CFR 5.609, and 24 CFR 5.601 applies it to public housing and all Section 8 programs. The statute still leaves HUD room to add exclusions: 1437a(b)(4)(B)(vii) excludes 'exclusions from income as established by the Secretary by regulation or notice' (before HOTMA, income was 'determined in accordance with criteria prescribed by the Secretary'). HUD hasn't used that clause for VA compensation; its 2024 HUD-VASH change relied on a program-specific appropriations waiver instead (see group B). The income limits are statutory (1437a(b)(2)), and 42 U.S.C. 1437n sets the extremely-low-income targeting shares. PHAs and owners have no choice of definition. VA compensation: counted for eligibility and rent; only deferred VA disability lump sums or prospective amounts and aid and attendance are excluded (5.609(b)(16)–(17)).</t>
        </is>
      </c>
    </row>
    <row r="5" ht="48" customHeight="1">
      <c r="A5" s="59" t="inlineStr">
        <is>
          <t>Public housing (admissions &amp; occupancy)</t>
        </is>
      </c>
      <c r="B5" s="59" t="n"/>
      <c r="C5" s="60">
        <f>IFERROR(INDEX('Scope Determinations'!$B$1:$B$400,MATCH($A5,'Scope Determinations'!$A$1:$A$400,0)),"Not found")</f>
        <v/>
      </c>
      <c r="D5" s="59" t="inlineStr">
        <is>
          <t>Part 5 annual income (24 CFR 5.609)</t>
        </is>
      </c>
      <c r="E5" s="59" t="inlineStr">
        <is>
          <t>Low-income ≤80% AMI; 40% of new admissions ≤30% AMI</t>
        </is>
      </c>
      <c r="F5" s="59" t="inlineStr">
        <is>
          <t>42 U.S.C. 1437a(b)(2), (b)(4), 1437n(a); 24 CFR 960.201, 5.609</t>
        </is>
      </c>
      <c r="G5" s="61" t="inlineStr">
        <is>
          <t>Public housing is assistance under the 1937 Act itself, so the Act's statutory income definition applies directly.</t>
        </is>
      </c>
      <c r="H5" s="61" t="inlineStr">
        <is>
          <t>U.S. Housing Act of 1937 §§3, 9, 16 (42 U.S.C. 1437a, 1437g, 1437n)</t>
        </is>
      </c>
    </row>
    <row r="6" ht="48" customHeight="1">
      <c r="A6" s="59" t="inlineStr">
        <is>
          <t>Housing Choice Voucher Program</t>
        </is>
      </c>
      <c r="B6" s="59" t="n"/>
      <c r="C6" s="60">
        <f>IFERROR(INDEX('Scope Determinations'!$B$1:$B$400,MATCH($A6,'Scope Determinations'!$A$1:$A$400,0)),"Not found")</f>
        <v/>
      </c>
      <c r="D6" s="59" t="inlineStr">
        <is>
          <t>Part 5 annual income (24 CFR 5.609)</t>
        </is>
      </c>
      <c r="E6" s="59" t="inlineStr">
        <is>
          <t>Generally very low-income ≤50% AMI at admission; 75% of admissions ≤30% AMI</t>
        </is>
      </c>
      <c r="F6" s="59" t="inlineStr">
        <is>
          <t>42 U.S.C. 1437a(b)(4), 1437n(b); 24 CFR 982.201(b), 5.609</t>
        </is>
      </c>
      <c r="G6" s="61" t="inlineStr">
        <is>
          <t>Authorized by the 1937 Act. It's Section 8 assistance, so the 1937 Act's statutory income definition applies directly.</t>
        </is>
      </c>
      <c r="H6" s="61" t="inlineStr">
        <is>
          <t>1937 Act §8(o) (42 U.S.C. 1437f(o))</t>
        </is>
      </c>
    </row>
    <row r="7" ht="48" customHeight="1">
      <c r="A7" s="59" t="inlineStr">
        <is>
          <t>Project-Based Voucher Program</t>
        </is>
      </c>
      <c r="B7" s="59" t="n"/>
      <c r="C7" s="60">
        <f>IFERROR(INDEX('Scope Determinations'!$B$1:$B$400,MATCH($A7,'Scope Determinations'!$A$1:$A$400,0)),"Not found")</f>
        <v/>
      </c>
      <c r="D7" s="59" t="inlineStr">
        <is>
          <t>Part 5 annual income (24 CFR 5.609)</t>
        </is>
      </c>
      <c r="E7" s="59" t="inlineStr">
        <is>
          <t>HCV limits (24 CFR 982.201)</t>
        </is>
      </c>
      <c r="F7" s="59" t="inlineStr">
        <is>
          <t>42 U.S.C. 1437f(o)(13); 24 CFR part 983; 5.609</t>
        </is>
      </c>
      <c r="G7" s="61" t="inlineStr">
        <is>
          <t>Authorized by the 1937 Act as part of the voucher program. It's Section 8 assistance, so the 1937 Act's statutory income definition applies directly.</t>
        </is>
      </c>
      <c r="H7" s="61" t="inlineStr">
        <is>
          <t>1937 Act §8(o)(13) (42 U.S.C. 1437f(o)(13))</t>
        </is>
      </c>
    </row>
    <row r="8" ht="33" customHeight="1">
      <c r="A8" s="59" t="inlineStr">
        <is>
          <t>Renewal of Section 8 Project-Based Rental Assistance</t>
        </is>
      </c>
      <c r="B8" s="59" t="n"/>
      <c r="C8" s="60">
        <f>IFERROR(INDEX('Scope Determinations'!$B$1:$B$400,MATCH($A8,'Scope Determinations'!$A$1:$A$400,0)),"Not found")</f>
        <v/>
      </c>
      <c r="D8" s="59" t="inlineStr">
        <is>
          <t>Part 5 annual income (24 CFR 5.609)</t>
        </is>
      </c>
      <c r="E8" s="59" t="inlineStr">
        <is>
          <t>Low-income ≤80% AMI; 40% of turnover admissions ≤30% AMI</t>
        </is>
      </c>
      <c r="F8" s="59" t="inlineStr">
        <is>
          <t>42 U.S.C. 1437a(b)(4); 24 CFR 5.653, 5.609</t>
        </is>
      </c>
      <c r="G8" s="61" t="inlineStr">
        <is>
          <t>Contracts are renewed under MAHRAA but remain Section 8 contracts, so the 1937 Act definition applies.</t>
        </is>
      </c>
      <c r="H8" s="61" t="inlineStr">
        <is>
          <t>1937 Act §8 (42 U.S.C. 1437f); MAHRAA §§515, 524 (42 U.S.C. 1437f note)</t>
        </is>
      </c>
    </row>
    <row r="9" ht="48" customHeight="1">
      <c r="A9" s="59" t="inlineStr">
        <is>
          <t>Lower Income Housing Assistance Program Section 8 Moderate Rehabilitation</t>
        </is>
      </c>
      <c r="B9" s="59" t="n"/>
      <c r="C9" s="60">
        <f>IFERROR(INDEX('Scope Determinations'!$B$1:$B$400,MATCH($A9,'Scope Determinations'!$A$1:$A$400,0)),"Not found")</f>
        <v/>
      </c>
      <c r="D9" s="59" t="inlineStr">
        <is>
          <t>Part 5 annual income (24 CFR 5.609)</t>
        </is>
      </c>
      <c r="E9" s="59" t="inlineStr">
        <is>
          <t>Low-income ≤80% AMI</t>
        </is>
      </c>
      <c r="F9" s="59" t="inlineStr">
        <is>
          <t>42 U.S.C. 1437f; 24 CFR part 882; 5.609</t>
        </is>
      </c>
      <c r="G9" s="61" t="inlineStr">
        <is>
          <t>Authorized by the 1937 Act. It's Section 8 assistance, so the 1937 Act's statutory income definition applies directly.</t>
        </is>
      </c>
      <c r="H9" s="61" t="inlineStr">
        <is>
          <t>1937 Act §8 (42 U.S.C. 1437f), moderate rehabilitation</t>
        </is>
      </c>
    </row>
    <row r="10" ht="48" customHeight="1">
      <c r="A10" s="59" t="inlineStr">
        <is>
          <t>Section 8 Moderate Rehabilitation Single Room Occupancy</t>
        </is>
      </c>
      <c r="B10" s="59" t="n"/>
      <c r="C10" s="60">
        <f>IFERROR(INDEX('Scope Determinations'!$B$1:$B$400,MATCH($A10,'Scope Determinations'!$A$1:$A$400,0)),"Not found")</f>
        <v/>
      </c>
      <c r="D10" s="59" t="inlineStr">
        <is>
          <t>Part 5 annual income (24 CFR 5.609)</t>
        </is>
      </c>
      <c r="E10" s="59" t="inlineStr">
        <is>
          <t>1937 Act limits</t>
        </is>
      </c>
      <c r="F10" s="59" t="inlineStr">
        <is>
          <t>42 U.S.C. 1437f; 24 CFR part 882, subpart H; 5.609</t>
        </is>
      </c>
      <c r="G10" s="61" t="inlineStr">
        <is>
          <t>Authorized by the McKinney Act, but the assistance it provides is Section 8 moderate rehabilitation, so the 1937 Act definition applies.</t>
        </is>
      </c>
      <c r="H10" s="61" t="inlineStr">
        <is>
          <t>McKinney-Vento Homeless Assistance Act §441 (SRO moderate rehabilitation), using 42 U.S.C. 1437f</t>
        </is>
      </c>
    </row>
    <row r="11" ht="63" customHeight="1">
      <c r="A11" s="59" t="inlineStr">
        <is>
          <t>Mainstream Vouchers</t>
        </is>
      </c>
      <c r="B11" s="59" t="n"/>
      <c r="C11" s="60">
        <f>IFERROR(INDEX('Scope Determinations'!$B$1:$B$400,MATCH($A11,'Scope Determinations'!$A$1:$A$400,0)),"Not found")</f>
        <v/>
      </c>
      <c r="D11" s="59" t="inlineStr">
        <is>
          <t>Part 5 annual income (24 CFR 5.609)</t>
        </is>
      </c>
      <c r="E11" s="59" t="inlineStr">
        <is>
          <t>HCV limits (24 CFR 982.201)</t>
        </is>
      </c>
      <c r="F11" s="59" t="inlineStr">
        <is>
          <t>42 U.S.C. 8013 (Section 811 authority), administered as HCV: 24 CFR 982.201, 5.609</t>
        </is>
      </c>
      <c r="G11" s="61" t="inlineStr">
        <is>
          <t>Authorized by Section 811, but the statute says this tenant-based assistance 'shall be provided under section 1437f(o)' — the voucher program — so the 1937 Act definition applies.</t>
        </is>
      </c>
      <c r="H11" s="61" t="inlineStr">
        <is>
          <t>Cranston-Gonzalez NAHA §811(b)(1), (d)(4)(A) (42 U.S.C. 8013(b)(1), (d)(4)(A))</t>
        </is>
      </c>
    </row>
    <row r="12" ht="48" customHeight="1">
      <c r="A12" s="59" t="inlineStr">
        <is>
          <t>Family Unification Program (FUP)</t>
        </is>
      </c>
      <c r="B12" s="59" t="n"/>
      <c r="C12" s="60">
        <f>IFERROR(INDEX('Scope Determinations'!$B$1:$B$400,MATCH($A12,'Scope Determinations'!$A$1:$A$400,0)),"Not found")</f>
        <v/>
      </c>
      <c r="D12" s="59" t="inlineStr">
        <is>
          <t>Part 5 annual income (24 CFR 5.609)</t>
        </is>
      </c>
      <c r="E12" s="59" t="inlineStr">
        <is>
          <t>HCV limits (24 CFR 982.201)</t>
        </is>
      </c>
      <c r="F12" s="59" t="inlineStr">
        <is>
          <t>42 U.S.C. 1437f(x); 24 CFR 982.201, 5.609</t>
        </is>
      </c>
      <c r="G12" s="61" t="inlineStr">
        <is>
          <t>Authorized by the 1937 Act. It's Section 8 assistance, so the 1937 Act's statutory income definition applies directly.</t>
        </is>
      </c>
      <c r="H12" s="61" t="inlineStr">
        <is>
          <t>1937 Act §8(x) (42 U.S.C. 1437f(x))</t>
        </is>
      </c>
    </row>
    <row r="13" ht="48" customHeight="1">
      <c r="A13" s="59" t="inlineStr">
        <is>
          <t>Rental Assistance Demonstration (RAD)</t>
        </is>
      </c>
      <c r="B13" s="59" t="n"/>
      <c r="C13" s="60">
        <f>IFERROR(INDEX('Scope Determinations'!$B$1:$B$400,MATCH($A13,'Scope Determinations'!$A$1:$A$400,0)),"Not found")</f>
        <v/>
      </c>
      <c r="D13" s="59" t="inlineStr">
        <is>
          <t>Part 5 annual income (24 CFR 5.609)</t>
        </is>
      </c>
      <c r="E13" s="59" t="inlineStr">
        <is>
          <t>PBV or PBRA limits after conversion; residents in place aren't rescreened</t>
        </is>
      </c>
      <c r="F13" s="59" t="inlineStr">
        <is>
          <t>PL 112-55, Div. C, Title II; RAD Notice H-2023-08 / PIH-2023-19</t>
        </is>
      </c>
      <c r="G13" s="61" t="inlineStr">
        <is>
          <t>Authorized by an appropriations act, but it converts properties to Section 8 PBV or PBRA contracts, so the 1937 Act definition governs once a property converts.</t>
        </is>
      </c>
      <c r="H13" s="61" t="inlineStr">
        <is>
          <t>Consolidated and Further Continuing Appropriations Act, 2012 (PL 112-55), Div. C, Title II, as amended</t>
        </is>
      </c>
    </row>
    <row r="14" ht="63" customHeight="1">
      <c r="A14" s="59" t="inlineStr">
        <is>
          <t>Moving to Work (MTW) Demonstration</t>
        </is>
      </c>
      <c r="B14" s="59" t="n"/>
      <c r="C14" s="60">
        <f>IFERROR(INDEX('Scope Determinations'!$B$1:$B$400,MATCH($A14,'Scope Determinations'!$A$1:$A$400,0)),"Not found")</f>
        <v/>
      </c>
      <c r="D14" s="59" t="inlineStr">
        <is>
          <t>Part 5 annual income (24 CFR 5.609) for eligibility; MTW flexibility mainly affects rent</t>
        </is>
      </c>
      <c r="E14" s="59" t="inlineStr">
        <is>
          <t>1937 Act limits; at least 75% of families assisted very low-income</t>
        </is>
      </c>
      <c r="F14" s="59" t="inlineStr">
        <is>
          <t>PL 104-134 §204(c)(3)(A); 42 U.S.C. 1437a(b)(2)</t>
        </is>
      </c>
      <c r="G14" s="61" t="inlineStr">
        <is>
          <t>Authorized by an appropriations act as a demonstration inside public housing and Section 8; agencies stay subject to the 1937 Act's income limits and definition for eligibility.</t>
        </is>
      </c>
      <c r="H14" s="61" t="inlineStr">
        <is>
          <t>Omnibus Consolidated Rescissions and Appropriations Act of 1996 §204 (PL 104-134); expansion in PL 114-113 §239</t>
        </is>
      </c>
    </row>
    <row r="15" ht="48" customHeight="1">
      <c r="A15" s="59" t="inlineStr">
        <is>
          <t>Public Housing Homeownership (Section 32)</t>
        </is>
      </c>
      <c r="B15" s="59" t="n"/>
      <c r="C15" s="60">
        <f>IFERROR(INDEX('Scope Determinations'!$B$1:$B$400,MATCH($A15,'Scope Determinations'!$A$1:$A$400,0)),"Not found")</f>
        <v/>
      </c>
      <c r="D15" s="59" t="inlineStr">
        <is>
          <t>1937 Act low-income definition; affordability test cites superseded 24 CFR part 913</t>
        </is>
      </c>
      <c r="E15" s="59" t="inlineStr">
        <is>
          <t>Low-income ≤80% AMI</t>
        </is>
      </c>
      <c r="F15" s="59" t="inlineStr">
        <is>
          <t>42 U.S.C. 1437z-4; 24 CFR 906.15</t>
        </is>
      </c>
      <c r="G15" s="61" t="inlineStr">
        <is>
          <t>Authorized by the 1937 Act, which requires purchasers to be 'low-income families' as the Act defines them.</t>
        </is>
      </c>
      <c r="H15" s="61" t="inlineStr">
        <is>
          <t>1937 Act §32 (42 U.S.C. 1437z-4)</t>
        </is>
      </c>
    </row>
    <row r="16" ht="63" customHeight="1">
      <c r="A16" s="59" t="inlineStr">
        <is>
          <t>American Rescue Plan Act of 2021</t>
        </is>
      </c>
      <c r="B16" s="59" t="inlineStr">
        <is>
          <t>§3202 Emergency Housing Vouchers</t>
        </is>
      </c>
      <c r="C16" s="60">
        <f>IFERROR(INDEX('Scope Determinations'!$B$1:$B$400,MATCH($A16,'Scope Determinations'!$A$1:$A$400,0)),"Not found")</f>
        <v/>
      </c>
      <c r="D16" s="59" t="inlineStr">
        <is>
          <t>Part 5 annual income (24 CFR 5.609)</t>
        </is>
      </c>
      <c r="E16" s="59" t="inlineStr">
        <is>
          <t>HCV limits (24 CFR 982.201); also requires homeless, at-risk, fleeing violence, or recently homeless status</t>
        </is>
      </c>
      <c r="F16" s="59" t="inlineStr">
        <is>
          <t>PL 117-2 §3202; Notice PIH 2021-15</t>
        </is>
      </c>
      <c r="G16" s="61" t="inlineStr">
        <is>
          <t>Authorized by ARP, but HUD's implementing notice states that EHVs 'are tenant-based rental assistance under section 8(o)' of the 1937 Act, so HCV income rules apply.</t>
        </is>
      </c>
      <c r="H16" s="61" t="inlineStr">
        <is>
          <t>American Rescue Plan Act of 2021 §3202 (PL 117-2); Notice PIH 2021-15</t>
        </is>
      </c>
    </row>
    <row r="18" ht="21" customHeight="1">
      <c r="A18" s="57" t="inlineStr">
        <is>
          <t>B. 1937 Act definition with a statutory VA carve-out (HUD-VASH)  (1 program row)</t>
        </is>
      </c>
    </row>
    <row r="19" ht="66" customHeight="1">
      <c r="A19" s="58" t="inlineStr">
        <is>
          <t>Where it comes from: the same 1937 Act definition, with a carve-out. HUD first excluded VA service-connected disability benefits from HUD-VASH eligibility by notice (FR-6476-N-01, 89 FR 65769, Aug. 13, 2024). Its authority was the HUD-VASH appropriations language (every act since FY2008), which lets HUD 'waive, or specify alternative requirements for any provision of any statute or regulation' on a finding that it is 'necessary for the effective delivery and administration' of the vouchers; HUD waived 1937 Act §3(b) and 24 CFR 5.609(a)(1) for eligibility only. PL 119-101 §602 (July 11, 2026) then codified the rule at 42 U.S.C. 1437a(b)(4)(B)(iv)–(v), covering chapter 11 compensation and chapter 15 pension and keeping both in adjusted income. VA compensation: excluded for eligibility, counted for rent, which is what makes zero-HAP cases possible.</t>
        </is>
      </c>
    </row>
    <row r="20" ht="63" customHeight="1">
      <c r="A20" s="59" t="inlineStr">
        <is>
          <t>HUD-VASH (tenant-based and project-based)</t>
        </is>
      </c>
      <c r="B20" s="59" t="n"/>
      <c r="C20" s="60">
        <f>IFERROR(INDEX('Scope Determinations'!$B$1:$B$400,MATCH($A20,'Scope Determinations'!$A$1:$A$400,0)),"Not found")</f>
        <v/>
      </c>
      <c r="D20" s="59" t="inlineStr">
        <is>
          <t>Part 5 annual income (24 CFR 5.609), minus chapter 11 compensation and chapter 15 pension (eligibility only)</t>
        </is>
      </c>
      <c r="E20" s="59" t="inlineStr">
        <is>
          <t>HCV limits as applied to HUD-VASH</t>
        </is>
      </c>
      <c r="F20" s="59" t="inlineStr">
        <is>
          <t>42 U.S.C. 1437a(b)(4)(B)(iv)–(v) (PL 119-101 §602); earlier 89 FR 65769 (Aug. 13, 2024)</t>
        </is>
      </c>
      <c r="G20" s="61" t="inlineStr">
        <is>
          <t>HUD-VASH vouchers are Section 8 vouchers, so they start from the 1937 Act definition; Congress then carved out VA disability benefits for HUD-VASH eligibility only.</t>
        </is>
      </c>
      <c r="H20" s="61" t="inlineStr">
        <is>
          <t>1937 Act §8(o)(19) (42 U.S.C. 1437f(o)(19)), funded annually since FY2008; carve-out at 42 U.S.C. 1437a(b)(4)(B)(iv)–(v) (PL 119-101 §602)</t>
        </is>
      </c>
    </row>
    <row r="22" ht="21" customHeight="1">
      <c r="A22" s="57" t="inlineStr">
        <is>
          <t>C. Part 5 adopted by HUD rule, notice, or handbook  (13 program rows)</t>
        </is>
      </c>
    </row>
    <row r="23" ht="66" customHeight="1">
      <c r="A23" s="58" t="inlineStr">
        <is>
          <t>Where it comes from: these programs' statutes set income limits, often by pointing to the 1937 Act limits, and HUD supplied the income definition by borrowing Part 5 in each program's own rule: 24 CFR 5.601 for Sections 202 and 811 (and SPRAC through Section 202), 576.401(c) for ESG, 574.310(e) for HOPWA, 578.77 for CoC and YHDP rents, and Notice CPD-21-10 for HOME-ARP, which allows no AGI option. Because the borrowing is HUD's own choice, HUD likely has more room to change treatment here than in group A (the Section 202 and 811 statutes weren't checked for a definition of their own). CoC, YHDP, and CHSP have no income eligibility test and use income only for rent or fees; CHSP's rule still cites superseded parts 813 and 913. The four legacy multifamily programs follow HUD Handbook 4350.3, and 24 CFR 5.601 doesn't list them, so their regulatory basis wasn't confirmed. VA compensation: counted.</t>
        </is>
      </c>
    </row>
    <row r="24" ht="63" customHeight="1">
      <c r="A24" s="59" t="inlineStr">
        <is>
          <t>Supportive Housing for the Elderly (Section 202)</t>
        </is>
      </c>
      <c r="B24" s="59" t="n"/>
      <c r="C24" s="60">
        <f>IFERROR(INDEX('Scope Determinations'!$B$1:$B$400,MATCH($A24,'Scope Determinations'!$A$1:$A$400,0)),"Not found")</f>
        <v/>
      </c>
      <c r="D24" s="59" t="inlineStr">
        <is>
          <t>Part 5 annual income (24 CFR 5.609)</t>
        </is>
      </c>
      <c r="E24" s="59" t="inlineStr">
        <is>
          <t>Very low-income ≤50% AMI</t>
        </is>
      </c>
      <c r="F24" s="59" t="inlineStr">
        <is>
          <t>12 U.S.C. 1701q; 24 CFR 5.601, 5.609; part 891</t>
        </is>
      </c>
      <c r="G24" s="61" t="inlineStr">
        <is>
          <t>The statute borrows the 1937 Act's 'very low-income' limit (1701q(k)(8)) and sets a 30%-of-adjusted-income rent, but doesn't define income; HUD's rule (24 CFR 5.601) fills the gap with Part 5.</t>
        </is>
      </c>
      <c r="H24" s="61" t="inlineStr">
        <is>
          <t>Housing Act of 1959 §202 (12 U.S.C. 1701q)</t>
        </is>
      </c>
    </row>
    <row r="25" ht="63" customHeight="1">
      <c r="A25" s="59" t="inlineStr">
        <is>
          <t>Supportive Housing for Persons with Disabilities (Section 811) and the Section 811 Project Rental Assistance (Section 811 PRA) program</t>
        </is>
      </c>
      <c r="B25" s="59" t="n"/>
      <c r="C25" s="60">
        <f>IFERROR(INDEX('Scope Determinations'!$B$1:$B$400,MATCH($A25,'Scope Determinations'!$A$1:$A$400,0)),"Not found")</f>
        <v/>
      </c>
      <c r="D25" s="59" t="inlineStr">
        <is>
          <t>Part 5 annual income (24 CFR 5.609)</t>
        </is>
      </c>
      <c r="E25" s="59" t="inlineStr">
        <is>
          <t>Very low-income ≤50% AMI (PRA: extremely low-income ≤30%)</t>
        </is>
      </c>
      <c r="F25" s="59" t="inlineStr">
        <is>
          <t>42 U.S.C. 8013; 24 CFR 5.601, 5.609; part 891</t>
        </is>
      </c>
      <c r="G25" s="61" t="inlineStr">
        <is>
          <t>Same as Section 202: the statute borrows the 1937 Act's 'very low-income' limit (8013(k)(9)) and sets a 30%-of-adjusted-income rent (8013(d)(3)), but leaves the definition to HUD, which applies Part 5.</t>
        </is>
      </c>
      <c r="H25" s="61" t="inlineStr">
        <is>
          <t>Cranston-Gonzalez NAHA §811 (42 U.S.C. 8013)</t>
        </is>
      </c>
    </row>
    <row r="26" ht="48" customHeight="1">
      <c r="A26" s="59" t="inlineStr">
        <is>
          <t>Senior Preservation Rental Assistance Contracts (SPRAC)</t>
        </is>
      </c>
      <c r="B26" s="59" t="n"/>
      <c r="C26" s="60">
        <f>IFERROR(INDEX('Scope Determinations'!$B$1:$B$400,MATCH($A26,'Scope Determinations'!$A$1:$A$400,0)),"Not found")</f>
        <v/>
      </c>
      <c r="D26" s="59" t="inlineStr">
        <is>
          <t>Part 5 annual income (24 CFR 5.609) (through Section 202)</t>
        </is>
      </c>
      <c r="E26" s="59" t="inlineStr">
        <is>
          <t>Income-eligible elderly residents; priority for ≤80% and ≤50% AMI</t>
        </is>
      </c>
      <c r="F26" s="59" t="inlineStr">
        <is>
          <t>Section 202 Supportive Housing for the Elderly Act of 2010 (PL 111-372); 24 CFR 5.601</t>
        </is>
      </c>
      <c r="G26" s="61" t="inlineStr">
        <is>
          <t>SPRAC is Section 202 assistance, so it follows HUD's Part 5 rule for Section 202.</t>
        </is>
      </c>
      <c r="H26" s="61" t="inlineStr">
        <is>
          <t>Section 202 Supportive Housing for the Elderly Act of 2010 (PL 111-372), amending Housing Act of 1959 §202</t>
        </is>
      </c>
    </row>
    <row r="27" ht="63" customHeight="1">
      <c r="A27" s="59" t="inlineStr">
        <is>
          <t>Emergency Solutions Grants (ESG) Program</t>
        </is>
      </c>
      <c r="B27" s="59" t="n"/>
      <c r="C27" s="60">
        <f>IFERROR(INDEX('Scope Determinations'!$B$1:$B$400,MATCH($A27,'Scope Determinations'!$A$1:$A$400,0)),"Not found")</f>
        <v/>
      </c>
      <c r="D27" s="59" t="inlineStr">
        <is>
          <t>Part 5 annual income (24 CFR 5.609), required by 24 CFR 576.401(c)</t>
        </is>
      </c>
      <c r="E27" s="59" t="inlineStr">
        <is>
          <t>Homelessness prevention: below 30% AMI at intake and at re-evaluation</t>
        </is>
      </c>
      <c r="F27" s="59" t="inlineStr">
        <is>
          <t>24 CFR 576.2, 576.103, 576.401(b)–(c)</t>
        </is>
      </c>
      <c r="G27" s="61" t="inlineStr">
        <is>
          <t>The statute sets the income test ('at risk of homelessness': income below 30% AMI) but doesn't define income; HUD's ESG rule (576.401(c)) adopts Part 5.</t>
        </is>
      </c>
      <c r="H27" s="61" t="inlineStr">
        <is>
          <t>McKinney-Vento Homeless Assistance Act, Title IV, Subtitle B (42 U.S.C. 11371–11378); definition at 42 U.S.C. 11360(1)</t>
        </is>
      </c>
    </row>
    <row r="28" ht="48" customHeight="1">
      <c r="A28" s="59" t="inlineStr">
        <is>
          <t>Housing Opportunities for Persons with AIDS (HOPWA)</t>
        </is>
      </c>
      <c r="B28" s="59" t="n"/>
      <c r="C28" s="60">
        <f>IFERROR(INDEX('Scope Determinations'!$B$1:$B$400,MATCH($A28,'Scope Determinations'!$A$1:$A$400,0)),"Not found")</f>
        <v/>
      </c>
      <c r="D28" s="59" t="inlineStr">
        <is>
          <t>Part 5 annual income (24 CFR 5.609), required by 24 CFR 574.310(e)</t>
        </is>
      </c>
      <c r="E28" s="59" t="inlineStr">
        <is>
          <t>Low-income ≤80% AMI</t>
        </is>
      </c>
      <c r="F28" s="59" t="inlineStr">
        <is>
          <t>42 U.S.C. 12902; 24 CFR 574.3, 574.310</t>
        </is>
      </c>
      <c r="G28" s="61" t="inlineStr">
        <is>
          <t>The statute defines 'low-income' as at or below 80% AMI but doesn't define income; HUD's rule (574.310(e)) adopts Part 5.</t>
        </is>
      </c>
      <c r="H28" s="61" t="inlineStr">
        <is>
          <t>AIDS Housing Opportunity Act (42 U.S.C. 12901 et seq.); definitions at 42 U.S.C. 12902</t>
        </is>
      </c>
    </row>
    <row r="29" ht="78" customHeight="1">
      <c r="A29" s="59" t="inlineStr">
        <is>
          <t>American Rescue Plan Act of 2021</t>
        </is>
      </c>
      <c r="B29" s="59" t="inlineStr">
        <is>
          <t>§3205 HOME-ARP</t>
        </is>
      </c>
      <c r="C29" s="60">
        <f>IFERROR(INDEX('Scope Determinations'!$B$1:$B$400,MATCH($A29,'Scope Determinations'!$A$1:$A$400,0)),"Not found")</f>
        <v/>
      </c>
      <c r="D29" s="59" t="inlineStr">
        <is>
          <t>Part 5 annual income (24 CFR 5.609) only (no AGI option)</t>
        </is>
      </c>
      <c r="E29" s="59" t="inlineStr">
        <is>
          <t>'At risk of homelessness' below 30% AMI; other qualifying populations are defined by circumstance, not income</t>
        </is>
      </c>
      <c r="F29" s="59" t="inlineStr">
        <is>
          <t>PL 117-2 §3205; Notice CPD-21-10, sec. IV</t>
        </is>
      </c>
      <c r="G29" s="61" t="inlineStr">
        <is>
          <t>ARP provides these funds under the HOME program, which would allow the AGI option (group E), but HUD's HOME-ARP notice requires Part 5 for every income determination, which puts it here.</t>
        </is>
      </c>
      <c r="H29" s="61" t="inlineStr">
        <is>
          <t>American Rescue Plan Act of 2021 §3205 (PL 117-2) (funds 'under HUD's HOME Investment Partnerships Program,' Programs of HUD 2025, PDF p. 100); Notice CPD-21-10</t>
        </is>
      </c>
    </row>
    <row r="30" ht="48" customHeight="1">
      <c r="A30" s="59" t="inlineStr">
        <is>
          <t>Continuum of Care Program</t>
        </is>
      </c>
      <c r="B30" s="59" t="inlineStr">
        <is>
          <t>Rent only</t>
        </is>
      </c>
      <c r="C30" s="60">
        <f>IFERROR(INDEX('Scope Determinations'!$B$1:$B$400,MATCH($A30,'Scope Determinations'!$A$1:$A$400,0)),"Not found")</f>
        <v/>
      </c>
      <c r="D30" s="59" t="inlineStr">
        <is>
          <t>Part 5 annual income (24 CFR 5.609) for rent and occupancy charges</t>
        </is>
      </c>
      <c r="E30" s="59" t="inlineStr">
        <is>
          <t>None (eligibility by homeless status)</t>
        </is>
      </c>
      <c r="F30" s="59" t="inlineStr">
        <is>
          <t>24 CFR 578.3, 578.77</t>
        </is>
      </c>
      <c r="G30" s="61" t="inlineStr">
        <is>
          <t>Eligibility rests on homelessness, so the statute needs no income definition; HUD's CoC rule (578.77) uses Part 5 to set participant rents.</t>
        </is>
      </c>
      <c r="H30" s="61" t="inlineStr">
        <is>
          <t>McKinney-Vento Homeless Assistance Act, Title IV, Subtitle C (42 U.S.C. 11381–11389)</t>
        </is>
      </c>
    </row>
    <row r="31" ht="48" customHeight="1">
      <c r="A31" s="59" t="inlineStr">
        <is>
          <t>Youth Homelessness Demonstration Program</t>
        </is>
      </c>
      <c r="B31" s="59" t="inlineStr">
        <is>
          <t>Rent only</t>
        </is>
      </c>
      <c r="C31" s="60">
        <f>IFERROR(INDEX('Scope Determinations'!$B$1:$B$400,MATCH($A31,'Scope Determinations'!$A$1:$A$400,0)),"Not found")</f>
        <v/>
      </c>
      <c r="D31" s="59" t="inlineStr">
        <is>
          <t>Part 5 annual income (24 CFR 5.609) for rent and occupancy charges</t>
        </is>
      </c>
      <c r="E31" s="59" t="inlineStr">
        <is>
          <t>None (eligibility by youth homelessness)</t>
        </is>
      </c>
      <c r="F31" s="59" t="inlineStr">
        <is>
          <t>24 CFR part 578 (578.77)</t>
        </is>
      </c>
      <c r="G31" s="61" t="inlineStr">
        <is>
          <t>Funded within the Continuum of Care appropriation, so projects follow the CoC rule, including its Part 5 rent calculation.</t>
        </is>
      </c>
      <c r="H31" s="61" t="inlineStr">
        <is>
          <t>Consolidated Appropriations Act, 2016 (PL 114-113) and later annual appropriations (Homeless Assistance Grants)</t>
        </is>
      </c>
    </row>
    <row r="32" ht="63" customHeight="1">
      <c r="A32" s="59" t="inlineStr">
        <is>
          <t>Congregate Housing Services Program (CHSP)</t>
        </is>
      </c>
      <c r="B32" s="59" t="inlineStr">
        <is>
          <t>Fees only</t>
        </is>
      </c>
      <c r="C32" s="60">
        <f>IFERROR(INDEX('Scope Determinations'!$B$1:$B$400,MATCH($A32,'Scope Determinations'!$A$1:$A$400,0)),"Not found")</f>
        <v/>
      </c>
      <c r="D32" s="59" t="inlineStr">
        <is>
          <t>'Adjusted income' per 24 CFR parts 813 or 913 (both superseded by Part 5)</t>
        </is>
      </c>
      <c r="E32" s="59" t="inlineStr">
        <is>
          <t>None; priority for very low-income</t>
        </is>
      </c>
      <c r="F32" s="59" t="inlineStr">
        <is>
          <t>24 CFR 700.105, 700.125, 700.150</t>
        </is>
      </c>
      <c r="G32" s="61" t="inlineStr">
        <is>
          <t>Eligibility rests on frailty or disability; HUD's rule sets fees from 'adjusted income' under its old Section 8 and public housing income rules (parts 813 and 913), which Part 5 later replaced.</t>
        </is>
      </c>
      <c r="H32" s="61" t="inlineStr">
        <is>
          <t>Congregate Housing Services Act of 1978 (42 U.S.C. 8001 et seq.); Cranston-Gonzalez NAHA §802 (42 U.S.C. 8011)</t>
        </is>
      </c>
    </row>
    <row r="33" ht="48" customHeight="1">
      <c r="A33" s="59" t="inlineStr">
        <is>
          <t>Section 236 rental housing (interest reduction payments)</t>
        </is>
      </c>
      <c r="B33" s="59" t="inlineStr">
        <is>
          <t>Legacy</t>
        </is>
      </c>
      <c r="C33" s="60">
        <f>IFERROR(INDEX('Scope Determinations'!$B$1:$B$400,MATCH($A33,'Scope Determinations'!$A$1:$A$400,0)),"Not found")</f>
        <v/>
      </c>
      <c r="D33" s="59" t="inlineStr">
        <is>
          <t>HUD Handbook 4350.3 income rules (Part 5-based; regulatory basis not confirmed)</t>
        </is>
      </c>
      <c r="E33" s="59" t="inlineStr">
        <is>
          <t>Program-specific (Handbook 4350.3)</t>
        </is>
      </c>
      <c r="F33" s="59" t="inlineStr">
        <is>
          <t>12 U.S.C. 1715z-1; 24 CFR part 236; HUD Handbook 4350.3</t>
        </is>
      </c>
      <c r="G33" s="61" t="inlineStr">
        <is>
          <t>A National Housing Act program, not a 1937 Act program; tenant income rules come from HUD's occupancy handbook (4350.3), which uses Part 5 definitions.</t>
        </is>
      </c>
      <c r="H33" s="61" t="inlineStr">
        <is>
          <t>National Housing Act §236 (12 U.S.C. 1715z-1)</t>
        </is>
      </c>
    </row>
    <row r="34" ht="48" customHeight="1">
      <c r="A34" s="59" t="inlineStr">
        <is>
          <t>Section 221(d)(3) Below Market Interest Rate (BMIR)</t>
        </is>
      </c>
      <c r="B34" s="59" t="inlineStr">
        <is>
          <t>Legacy</t>
        </is>
      </c>
      <c r="C34" s="60">
        <f>IFERROR(INDEX('Scope Determinations'!$B$1:$B$400,MATCH($A34,'Scope Determinations'!$A$1:$A$400,0)),"Not found")</f>
        <v/>
      </c>
      <c r="D34" s="59" t="inlineStr">
        <is>
          <t>HUD Handbook 4350.3 income rules (Part 5-based; regulatory basis not confirmed)</t>
        </is>
      </c>
      <c r="E34" s="59" t="inlineStr">
        <is>
          <t>Program-specific (Handbook 4350.3)</t>
        </is>
      </c>
      <c r="F34" s="59" t="inlineStr">
        <is>
          <t>12 U.S.C. 1715l(d)(3), (d)(5); HUD Handbook 4350.3</t>
        </is>
      </c>
      <c r="G34" s="61" t="inlineStr">
        <is>
          <t>A National Housing Act program; tenant income rules come from HUD's occupancy handbook (4350.3).</t>
        </is>
      </c>
      <c r="H34" s="61" t="inlineStr">
        <is>
          <t>National Housing Act §221(d)(3), (d)(5) (12 U.S.C. 1715l)</t>
        </is>
      </c>
    </row>
    <row r="35" ht="48" customHeight="1">
      <c r="A35" s="59" t="inlineStr">
        <is>
          <t>Rent Supplement</t>
        </is>
      </c>
      <c r="B35" s="59" t="inlineStr">
        <is>
          <t>Legacy</t>
        </is>
      </c>
      <c r="C35" s="60">
        <f>IFERROR(INDEX('Scope Determinations'!$B$1:$B$400,MATCH($A35,'Scope Determinations'!$A$1:$A$400,0)),"Not found")</f>
        <v/>
      </c>
      <c r="D35" s="59" t="inlineStr">
        <is>
          <t>HUD Handbook 4350.3 income rules (Part 5-based; regulatory basis not confirmed)</t>
        </is>
      </c>
      <c r="E35" s="59" t="inlineStr">
        <is>
          <t>Program-specific (Handbook 4350.3)</t>
        </is>
      </c>
      <c r="F35" s="59" t="inlineStr">
        <is>
          <t>12 U.S.C. 1701s; 24 CFR part 215; HUD Handbook 4350.3</t>
        </is>
      </c>
      <c r="G35" s="61" t="inlineStr">
        <is>
          <t>Authorized outside the 1937 Act; tenant income rules come from HUD's occupancy handbook (4350.3).</t>
        </is>
      </c>
      <c r="H35" s="61" t="inlineStr">
        <is>
          <t>Housing and Urban Development Act of 1965 §101 (12 U.S.C. 1701s)</t>
        </is>
      </c>
    </row>
    <row r="36" ht="48" customHeight="1">
      <c r="A36" s="59" t="inlineStr">
        <is>
          <t>Rental Assistance Payment (RAP)</t>
        </is>
      </c>
      <c r="B36" s="59" t="inlineStr">
        <is>
          <t>Legacy</t>
        </is>
      </c>
      <c r="C36" s="60">
        <f>IFERROR(INDEX('Scope Determinations'!$B$1:$B$400,MATCH($A36,'Scope Determinations'!$A$1:$A$400,0)),"Not found")</f>
        <v/>
      </c>
      <c r="D36" s="59" t="inlineStr">
        <is>
          <t>HUD Handbook 4350.3 income rules (Part 5-based; regulatory basis not confirmed)</t>
        </is>
      </c>
      <c r="E36" s="59" t="inlineStr">
        <is>
          <t>Program-specific (Handbook 4350.3)</t>
        </is>
      </c>
      <c r="F36" s="59" t="inlineStr">
        <is>
          <t>12 U.S.C. 1715z-1(f)(2); HUD Handbook 4350.3</t>
        </is>
      </c>
      <c r="G36" s="61" t="inlineStr">
        <is>
          <t>Rental assistance attached to Section 236 projects under the National Housing Act; tenant income rules come from HUD's occupancy handbook (4350.3).</t>
        </is>
      </c>
      <c r="H36" s="61" t="inlineStr">
        <is>
          <t>National Housing Act §236(f)(2) (12 U.S.C. 1715z-1(f)(2))</t>
        </is>
      </c>
    </row>
    <row r="38" ht="21" customHeight="1">
      <c r="A38" s="57" t="inlineStr">
        <is>
          <t>D. CDBG family: grantee picks from a menu, plus a statutory VA exclusion  (11 program rows)</t>
        </is>
      </c>
    </row>
    <row r="39" ht="66" customHeight="1">
      <c r="A39" s="58" t="inlineStr">
        <is>
          <t>Where it comes from: HCDA §102(a)(20) (42 U.S.C. 5302(a)(20)) sets the low- and moderate-income threshold (80% AMI) but, until 2026, said nothing about how to measure income. HUD's CDBG rule (24 CFR 570.3, 'Income') lets grantees choose, activity by activity, Part 5 annual income, the Census long-form definition, or IRS Form 1040 AGI. PL 119-70 §2 (Jan. 20, 2026) added 5302(a)(20)(C), a statutory exclusion of VA service-connected disability compensation that applies whichever definition a grantee uses; HUD implemented it in Notice CPD-26-09 and hasn't amended 570.3. Money Congress routes through CDBG (disaster recovery, CARES Act, RHP, PRICE, PRO Housing) inherits these rules unless a notice waives them. ICDBG's rule (24 CFR 1003.4) sets the 80% AMI limit but no definition, so the statutory exclusion is its only income rule. NSP used HERA's higher ceiling (120% AMI), so whether PL 119-70 reaches it is unclear. VA compensation: excluded by statute for eligibility.</t>
        </is>
      </c>
    </row>
    <row r="40" ht="63" customHeight="1">
      <c r="A40" s="59" t="inlineStr">
        <is>
          <t>Community Development Block Grants (CDBG) (Entitlement)</t>
        </is>
      </c>
      <c r="B40" s="59" t="n"/>
      <c r="C40" s="60">
        <f>IFERROR(INDEX('Scope Determinations'!$B$1:$B$400,MATCH($A40,'Scope Determinations'!$A$1:$A$400,0)),"Not found")</f>
        <v/>
      </c>
      <c r="D40" s="59" t="inlineStr">
        <is>
          <t>Grantee picks Part 5, Census long-form, or IRS 1040 AGI; VA compensation excluded by statute</t>
        </is>
      </c>
      <c r="E40" s="59" t="inlineStr">
        <is>
          <t>Low/mod: at or below 80% AMI</t>
        </is>
      </c>
      <c r="F40" s="59" t="inlineStr">
        <is>
          <t>42 U.S.C. 5302(a)(20)(A), (C); 24 CFR 570.3, 570.208(a)</t>
        </is>
      </c>
      <c r="G40" s="61" t="inlineStr">
        <is>
          <t>Authorized by HCDA Title I. The money is CDBG money under HCDA Title I, so §102(a)(20)'s low/mod rules (including PL 119-70's VA exclusion) and HUD's 570.3 menu apply.</t>
        </is>
      </c>
      <c r="H40" s="61" t="inlineStr">
        <is>
          <t>HCDA Title I §106(b) (42 U.S.C. 5306(b))</t>
        </is>
      </c>
    </row>
    <row r="41" ht="63" customHeight="1">
      <c r="A41" s="59" t="inlineStr">
        <is>
          <t>Community Development Block Grants (Non-Entitlement) for States and Small Cities</t>
        </is>
      </c>
      <c r="B41" s="59" t="n"/>
      <c r="C41" s="60">
        <f>IFERROR(INDEX('Scope Determinations'!$B$1:$B$400,MATCH($A41,'Scope Determinations'!$A$1:$A$400,0)),"Not found")</f>
        <v/>
      </c>
      <c r="D41" s="59" t="inlineStr">
        <is>
          <t>Grantee picks Part 5, Census long-form, or IRS 1040 AGI; VA compensation excluded by statute</t>
        </is>
      </c>
      <c r="E41" s="59" t="inlineStr">
        <is>
          <t>Low/mod: at or below 80% AMI</t>
        </is>
      </c>
      <c r="F41" s="59" t="inlineStr">
        <is>
          <t>42 U.S.C. 5302(a)(20); 24 CFR 570.3, 570.483(b)</t>
        </is>
      </c>
      <c r="G41" s="61" t="inlineStr">
        <is>
          <t>Authorized by HCDA Title I. The money is CDBG money under HCDA Title I, so §102(a)(20)'s low/mod rules (including PL 119-70's VA exclusion) and HUD's 570.3 menu apply.</t>
        </is>
      </c>
      <c r="H41" s="61" t="inlineStr">
        <is>
          <t>HCDA Title I §106(d) (42 U.S.C. 5306(d))</t>
        </is>
      </c>
    </row>
    <row r="42" ht="63" customHeight="1">
      <c r="A42" s="59" t="inlineStr">
        <is>
          <t>Community Development Block Grants for Insular Areas</t>
        </is>
      </c>
      <c r="B42" s="59" t="n"/>
      <c r="C42" s="60">
        <f>IFERROR(INDEX('Scope Determinations'!$B$1:$B$400,MATCH($A42,'Scope Determinations'!$A$1:$A$400,0)),"Not found")</f>
        <v/>
      </c>
      <c r="D42" s="59" t="inlineStr">
        <is>
          <t>Grantee picks Part 5, Census long-form, or IRS 1040 AGI; VA compensation excluded by statute</t>
        </is>
      </c>
      <c r="E42" s="59" t="inlineStr">
        <is>
          <t>Low/mod: at or below 80% AMI</t>
        </is>
      </c>
      <c r="F42" s="59" t="inlineStr">
        <is>
          <t>42 U.S.C. 5302(a)(20); 24 CFR part 570</t>
        </is>
      </c>
      <c r="G42" s="61" t="inlineStr">
        <is>
          <t>Authorized by HCDA Title I. The money is CDBG money under HCDA Title I, so §102(a)(20)'s low/mod rules (including PL 119-70's VA exclusion) and HUD's 570.3 menu apply.</t>
        </is>
      </c>
      <c r="H42" s="61" t="inlineStr">
        <is>
          <t>HCDA Title I §106(a)(2) (42 U.S.C. 5306(a)(2))</t>
        </is>
      </c>
    </row>
    <row r="43" ht="48" customHeight="1">
      <c r="A43" s="59" t="inlineStr">
        <is>
          <t>Community Development Block Grants (Section 108 Loan Guarantee)</t>
        </is>
      </c>
      <c r="B43" s="59" t="n"/>
      <c r="C43" s="60">
        <f>IFERROR(INDEX('Scope Determinations'!$B$1:$B$400,MATCH($A43,'Scope Determinations'!$A$1:$A$400,0)),"Not found")</f>
        <v/>
      </c>
      <c r="D43" s="59" t="inlineStr">
        <is>
          <t>Grantee picks Part 5, Census long-form, or IRS 1040 AGI; VA compensation excluded by statute</t>
        </is>
      </c>
      <c r="E43" s="59" t="inlineStr">
        <is>
          <t>Low/mod: at or below 80% AMI</t>
        </is>
      </c>
      <c r="F43" s="59" t="inlineStr">
        <is>
          <t>42 U.S.C. 5308, 5302(a)(20); 24 CFR part 570, subpart M</t>
        </is>
      </c>
      <c r="G43" s="61" t="inlineStr">
        <is>
          <t>Authorized by HCDA Title I; guaranteed activities must meet CDBG national objectives, so the CDBG income rules apply.</t>
        </is>
      </c>
      <c r="H43" s="61" t="inlineStr">
        <is>
          <t>HCDA Title I §108 (42 U.S.C. 5308)</t>
        </is>
      </c>
    </row>
    <row r="44" ht="78" customHeight="1">
      <c r="A44" s="59" t="inlineStr">
        <is>
          <t>Community Development Block Grant Disaster Recovery (CDBG-DR) Assistance</t>
        </is>
      </c>
      <c r="B44" s="59" t="n"/>
      <c r="C44" s="60">
        <f>IFERROR(INDEX('Scope Determinations'!$B$1:$B$400,MATCH($A44,'Scope Determinations'!$A$1:$A$400,0)),"Not found")</f>
        <v/>
      </c>
      <c r="D44" s="59" t="inlineStr">
        <is>
          <t>Grantee picks Part 5, Census long-form, or IRS 1040 AGI; VA compensation excluded by statute; allocation notices can waive or alter</t>
        </is>
      </c>
      <c r="E44" s="59" t="inlineStr">
        <is>
          <t>Low/mod: at or below 80% AMI (notices can modify)</t>
        </is>
      </c>
      <c r="F44" s="59" t="inlineStr">
        <is>
          <t>Appropriations acts; 42 U.S.C. 5302(a)(20); 24 CFR 570.3; Federal Register allocation notices</t>
        </is>
      </c>
      <c r="G44" s="61" t="inlineStr">
        <is>
          <t>Authorized by supplemental appropriations acts that provide the money under HCDA Title I. So §102(a)(20)'s low/mod rules (including PL 119-70's VA exclusion) and HUD's 570.3 menu apply. Allocation notices can waive them.</t>
        </is>
      </c>
      <c r="H44" s="61" t="inlineStr">
        <is>
          <t>Supplemental appropriations acts (most recently PL 117-328), applying HCDA Title I (42 U.S.C. 5301 et seq.)</t>
        </is>
      </c>
    </row>
    <row r="45" ht="63" customHeight="1">
      <c r="A45" s="59" t="inlineStr">
        <is>
          <t>Community Development Block Grant CARES Act (CDBG-CV)</t>
        </is>
      </c>
      <c r="B45" s="59" t="n"/>
      <c r="C45" s="60">
        <f>IFERROR(INDEX('Scope Determinations'!$B$1:$B$400,MATCH($A45,'Scope Determinations'!$A$1:$A$400,0)),"Not found")</f>
        <v/>
      </c>
      <c r="D45" s="59" t="inlineStr">
        <is>
          <t>Grantee picks Part 5, Census long-form, or IRS 1040 AGI; VA compensation excluded by statute; CARES Act waivers apply</t>
        </is>
      </c>
      <c r="E45" s="59" t="inlineStr">
        <is>
          <t>Low/mod: at or below 80% AMI</t>
        </is>
      </c>
      <c r="F45" s="59" t="inlineStr">
        <is>
          <t>PL 116-136; 42 U.S.C. 5302(a)(20); 24 CFR 570.3</t>
        </is>
      </c>
      <c r="G45" s="61" t="inlineStr">
        <is>
          <t>Authorized by the CARES Act as CDBG funding under HCDA Title I, so the CDBG income rules apply (with CARES Act waivers).</t>
        </is>
      </c>
      <c r="H45" s="61" t="inlineStr">
        <is>
          <t>CARES Act (PL 116-136), applying HCDA Title I (42 U.S.C. 5301 et seq.)</t>
        </is>
      </c>
    </row>
    <row r="46" ht="48" customHeight="1">
      <c r="A46" s="59" t="inlineStr">
        <is>
          <t>Recovery Housing Program (RHP)</t>
        </is>
      </c>
      <c r="B46" s="59" t="n"/>
      <c r="C46" s="60">
        <f>IFERROR(INDEX('Scope Determinations'!$B$1:$B$400,MATCH($A46,'Scope Determinations'!$A$1:$A$400,0)),"Not found")</f>
        <v/>
      </c>
      <c r="D46" s="59" t="inlineStr">
        <is>
          <t>Grantee picks Part 5, Census long-form, or IRS 1040 AGI; VA compensation excluded by statute</t>
        </is>
      </c>
      <c r="E46" s="59" t="inlineStr">
        <is>
          <t>Low/mod: at or below 80% AMI</t>
        </is>
      </c>
      <c r="F46" s="59" t="inlineStr">
        <is>
          <t>SUPPORT Act §8071 (funds treated as CDBG); 42 U.S.C. 5302(a)(20)</t>
        </is>
      </c>
      <c r="G46" s="61" t="inlineStr">
        <is>
          <t>Authorized by the SUPPORT Act, which says RHP funds are treated as CDBG funds under HCDA Title I.</t>
        </is>
      </c>
      <c r="H46" s="61" t="inlineStr">
        <is>
          <t>SUPPORT for Patients and Communities Act §8071 (PL 115-271)</t>
        </is>
      </c>
    </row>
    <row r="47" ht="63" customHeight="1">
      <c r="A47" s="59" t="inlineStr">
        <is>
          <t>Preservation And Reinvestment Initiative for Community Enhancement (PRICE)</t>
        </is>
      </c>
      <c r="B47" s="59" t="n"/>
      <c r="C47" s="60">
        <f>IFERROR(INDEX('Scope Determinations'!$B$1:$B$400,MATCH($A47,'Scope Determinations'!$A$1:$A$400,0)),"Not found")</f>
        <v/>
      </c>
      <c r="D47" s="59" t="inlineStr">
        <is>
          <t>Grantee picks Part 5, Census long-form, or IRS 1040 AGI; VA compensation excluded by statute</t>
        </is>
      </c>
      <c r="E47" s="59" t="inlineStr">
        <is>
          <t>Low/mod: at or below 80% AMI</t>
        </is>
      </c>
      <c r="F47" s="59" t="inlineStr">
        <is>
          <t>PL 117-328 (funds treated as CDBG); 42 U.S.C. 5302(a)(20)</t>
        </is>
      </c>
      <c r="G47" s="61" t="inlineStr">
        <is>
          <t>Authorized by an appropriations act that provides the money as CDBG funds. So §102(a)(20)'s low/mod rules (including PL 119-70's VA exclusion) and HUD's 570.3 menu apply.</t>
        </is>
      </c>
      <c r="H47" s="61" t="inlineStr">
        <is>
          <t>Consolidated Appropriations Act, 2023 (PL 117-328)</t>
        </is>
      </c>
    </row>
    <row r="48" ht="63" customHeight="1">
      <c r="A48" s="59" t="inlineStr">
        <is>
          <t>Pathways to Removing Obstacles to Housing (PRO Housing)</t>
        </is>
      </c>
      <c r="B48" s="59" t="inlineStr">
        <is>
          <t>Household-benefit activities only</t>
        </is>
      </c>
      <c r="C48" s="60">
        <f>IFERROR(INDEX('Scope Determinations'!$B$1:$B$400,MATCH($A48,'Scope Determinations'!$A$1:$A$400,0)),"Not found")</f>
        <v/>
      </c>
      <c r="D48" s="59" t="inlineStr">
        <is>
          <t>Grantee picks Part 5, Census long-form, or IRS 1040 AGI; VA compensation excluded by statute</t>
        </is>
      </c>
      <c r="E48" s="59" t="inlineStr">
        <is>
          <t>Low/mod: at or below 80% AMI</t>
        </is>
      </c>
      <c r="F48" s="59" t="inlineStr">
        <is>
          <t>PL 117-328 (funds treated as CDBG); 42 U.S.C. 5302(a)(20)</t>
        </is>
      </c>
      <c r="G48" s="61" t="inlineStr">
        <is>
          <t>Authorized by an appropriations act that provides the money as CDBG funds. So §102(a)(20)'s low/mod rules (including PL 119-70's VA exclusion) and HUD's 570.3 menu apply.</t>
        </is>
      </c>
      <c r="H48" s="61" t="inlineStr">
        <is>
          <t>Consolidated Appropriations Act, 2023 (PL 117-328)</t>
        </is>
      </c>
    </row>
    <row r="49" ht="48" customHeight="1">
      <c r="A49" s="59" t="inlineStr">
        <is>
          <t>Indian Community Development Block Grant (ICDBG) Program</t>
        </is>
      </c>
      <c r="B49" s="59" t="n"/>
      <c r="C49" s="60">
        <f>IFERROR(INDEX('Scope Determinations'!$B$1:$B$400,MATCH($A49,'Scope Determinations'!$A$1:$A$400,0)),"Not found")</f>
        <v/>
      </c>
      <c r="D49" s="59" t="inlineStr">
        <is>
          <t>No regulatory definition; VA compensation excluded by statute</t>
        </is>
      </c>
      <c r="E49" s="59" t="inlineStr">
        <is>
          <t>Low/mod: at or below 80% AMI</t>
        </is>
      </c>
      <c r="F49" s="59" t="inlineStr">
        <is>
          <t>42 U.S.C. 5302(a)(20)(C) (names Indian tribes); 24 CFR 1003.4</t>
        </is>
      </c>
      <c r="G49" s="61" t="inlineStr">
        <is>
          <t>Authorized as a tribal set-aside within HCDA Title I, so §102(a)(20) applies; PL 119-70 names Indian tribes expressly.</t>
        </is>
      </c>
      <c r="H49" s="61" t="inlineStr">
        <is>
          <t>HCDA Title I §106(a)(1) (42 U.S.C. 5306(a)(1))</t>
        </is>
      </c>
    </row>
    <row r="50" ht="48" customHeight="1">
      <c r="A50" s="59" t="inlineStr">
        <is>
          <t>Neighborhood Stabilization Program (Recovery Act Funded)</t>
        </is>
      </c>
      <c r="B50" s="59" t="inlineStr">
        <is>
          <t>Legacy</t>
        </is>
      </c>
      <c r="C50" s="60">
        <f>IFERROR(INDEX('Scope Determinations'!$B$1:$B$400,MATCH($A50,'Scope Determinations'!$A$1:$A$400,0)),"Not found")</f>
        <v/>
      </c>
      <c r="D50" s="59" t="inlineStr">
        <is>
          <t>CDBG definitions applied through NSP notices</t>
        </is>
      </c>
      <c r="E50" s="59" t="inlineStr">
        <is>
          <t>Low, moderate, and middle income ≤120% AMI; 25% of funds ≤50% AMI</t>
        </is>
      </c>
      <c r="F50" s="59" t="inlineStr">
        <is>
          <t>HERA §2301 (PL 110-289); ARRA; NSP notices</t>
        </is>
      </c>
      <c r="G50" s="61" t="inlineStr">
        <is>
          <t>HERA treats NSP funds as CDBG funds under HCDA Title I, so CDBG income definitions apply, but HERA set its own 120% AMI ceiling.</t>
        </is>
      </c>
      <c r="H50" s="61" t="inlineStr">
        <is>
          <t>Housing and Economic Recovery Act of 2008 §2301 (PL 110-289); ARRA (PL 111-5); Dodd-Frank Act §1497 (PL 111-203)</t>
        </is>
      </c>
    </row>
    <row r="52" ht="21" customHeight="1">
      <c r="A52" s="57" t="inlineStr">
        <is>
          <t>E. HOME-style menu: grantee picks Part 5 or IRS AGI  (3 program rows)</t>
        </is>
      </c>
    </row>
    <row r="53" ht="51" customHeight="1">
      <c r="A53" s="58" t="inlineStr">
        <is>
          <t>Where it comes from: the statutes set income limits but leave the definition to HUD. HUD's HOME rule (24 CFR 92.203) lets each participating jurisdiction use Part 5 annual income or IRS Form 1040 AGI; HUD dropped the Census option in 2013. The Housing Trust Fund rule (24 CFR 93.151) copies that menu but requires Part 5 for projects that also have public housing or Section 8 assistance. SHOP's menu comes from its NOFO rather than a regulation and adds a HUD-approved grantee definition. VA compensation: counted under Part 5 and excluded under AGI (it's nontaxable), so treatment depends on each grantee's choice; no national data on those choices was found.</t>
        </is>
      </c>
    </row>
    <row r="54" ht="48" customHeight="1">
      <c r="A54" s="59" t="inlineStr">
        <is>
          <t>HOME Investment Partnerships</t>
        </is>
      </c>
      <c r="B54" s="59" t="n"/>
      <c r="C54" s="60">
        <f>IFERROR(INDEX('Scope Determinations'!$B$1:$B$400,MATCH($A54,'Scope Determinations'!$A$1:$A$400,0)),"Not found")</f>
        <v/>
      </c>
      <c r="D54" s="59" t="inlineStr">
        <is>
          <t>Grantee picks Part 5 or IRS 1040 AGI</t>
        </is>
      </c>
      <c r="E54" s="59" t="inlineStr">
        <is>
          <t>≤80% AMI; rental units targeted at ≤60% and ≤50% AMI</t>
        </is>
      </c>
      <c r="F54" s="59" t="inlineStr">
        <is>
          <t>42 U.S.C. 12744–12745; 24 CFR 92.203</t>
        </is>
      </c>
      <c r="G54" s="61" t="inlineStr">
        <is>
          <t>The statute sets income limits but doesn't define income; HUD's HOME rule (92.203) lets each jurisdiction pick Part 5 or IRS AGI.</t>
        </is>
      </c>
      <c r="H54" s="61" t="inlineStr">
        <is>
          <t>Cranston-Gonzalez NAHA Title II (42 U.S.C. 12721 et seq.)</t>
        </is>
      </c>
    </row>
    <row r="55" ht="48" customHeight="1">
      <c r="A55" s="59" t="inlineStr">
        <is>
          <t>Housing Trust Fund</t>
        </is>
      </c>
      <c r="B55" s="59" t="n"/>
      <c r="C55" s="60">
        <f>IFERROR(INDEX('Scope Determinations'!$B$1:$B$400,MATCH($A55,'Scope Determinations'!$A$1:$A$400,0)),"Not found")</f>
        <v/>
      </c>
      <c r="D55" s="59" t="inlineStr">
        <is>
          <t>Grantee picks Part 5 or IRS 1040 AGI (Part 5 required where other rental assistance applies)</t>
        </is>
      </c>
      <c r="E55" s="59" t="inlineStr">
        <is>
          <t>Extremely low-income ≤30% and very low-income ≤50% AMI</t>
        </is>
      </c>
      <c r="F55" s="59" t="inlineStr">
        <is>
          <t>12 U.S.C. 4568; 24 CFR 93.151</t>
        </is>
      </c>
      <c r="G55" s="61" t="inlineStr">
        <is>
          <t>The statute sets extremely low- and very low-income targets but doesn't define income; HUD's HTF rule copied the HOME menu.</t>
        </is>
      </c>
      <c r="H55" s="61" t="inlineStr">
        <is>
          <t>Federal Housing Enterprises Financial Safety and Soundness Act of 1992 §1338 (12 U.S.C. 4568), added by HERA</t>
        </is>
      </c>
    </row>
    <row r="56" ht="48" customHeight="1">
      <c r="A56" s="59" t="inlineStr">
        <is>
          <t>Self-Help Homeownership Opportunity Program (SHOP)</t>
        </is>
      </c>
      <c r="B56" s="59" t="n"/>
      <c r="C56" s="60">
        <f>IFERROR(INDEX('Scope Determinations'!$B$1:$B$400,MATCH($A56,'Scope Determinations'!$A$1:$A$400,0)),"Not found")</f>
        <v/>
      </c>
      <c r="D56" s="59" t="inlineStr">
        <is>
          <t>Grantee picks Part 5, IRS 1040 AGI, or a HUD-approved own definition (FY2013 NOFA)</t>
        </is>
      </c>
      <c r="E56" s="59" t="inlineStr">
        <is>
          <t>≤80% AMI</t>
        </is>
      </c>
      <c r="F56" s="59" t="inlineStr">
        <is>
          <t>HOPE Program Extension Act of 1996 §11; NOFA FR-5700-N-11</t>
        </is>
      </c>
      <c r="G56" s="61" t="inlineStr">
        <is>
          <t>The statute requires low-income homebuyers but doesn't define income; the NOFA supplies a HOME-style menu.</t>
        </is>
      </c>
      <c r="H56" s="61" t="inlineStr">
        <is>
          <t>Housing Opportunity Program Extension Act of 1996 §11 (42 U.S.C. 12805 note)</t>
        </is>
      </c>
    </row>
    <row r="58" ht="21" customHeight="1">
      <c r="A58" s="57" t="inlineStr">
        <is>
          <t>F. NAHASDA definition, set in statute  (5 program rows)</t>
        </is>
      </c>
    </row>
    <row r="59" ht="51" customHeight="1">
      <c r="A59" s="58" t="inlineStr">
        <is>
          <t>Where it comes from: NAHASDA defines income in the statute itself. 25 U.S.C. 4103(9), as amended by PL 111-269 (2010), excludes chapter 11 compensation and chapter 13 DIC. HUD's regulation (24 CFR 1000.10) still offers tribes and TDHEs Part 5, Census long-form, or IRS 1040 AGI, and its Census option still lists VA payments, but the statute controls. Tribal HUD-VASH runs under NAHASDA rather than Section 8, so the exclusion carries into rent too, unlike regular HUD-VASH. NHHBG (NAHASDA Title VIII) has a similar menu at 24 CFR 1006.10, and whether 4103(9)'s exclusion reaches Title VIII is unresolved. VA compensation: excluded by statute, for eligibility and rent, in IHBG, Title VI, and Tribal HUD-VASH; NHHBG unresolved.</t>
        </is>
      </c>
    </row>
    <row r="60" ht="33" customHeight="1">
      <c r="A60" s="59" t="inlineStr">
        <is>
          <t>Indian Housing Block Grant (IHBG) Program</t>
        </is>
      </c>
      <c r="B60" s="59" t="inlineStr">
        <is>
          <t>Block grant (T&amp;TA excluded)</t>
        </is>
      </c>
      <c r="C60" s="60">
        <f>IFERROR(INDEX('Scope Determinations'!$B$1:$B$400,MATCH($A60,'Scope Determinations'!$A$1:$A$400,0)),"Not found")</f>
        <v/>
      </c>
      <c r="D60" s="59" t="inlineStr">
        <is>
          <t>Statutory NAHASDA definition; 1000.10 menu applies subject to it</t>
        </is>
      </c>
      <c r="E60" s="59" t="inlineStr">
        <is>
          <t>Low-income ≤80% AMI</t>
        </is>
      </c>
      <c r="F60" s="59" t="inlineStr">
        <is>
          <t>25 U.S.C. 4103(9), (14); 24 CFR 1000.10, 1000.104</t>
        </is>
      </c>
      <c r="G60" s="61" t="inlineStr">
        <is>
          <t>Authorized by NAHASDA, which defines income in its own statute (25 U.S.C. 4103(9)).</t>
        </is>
      </c>
      <c r="H60" s="61" t="inlineStr">
        <is>
          <t>NAHASDA Titles I–V (25 U.S.C. 4101 et seq.)</t>
        </is>
      </c>
    </row>
    <row r="61" ht="48" customHeight="1">
      <c r="A61" s="59" t="inlineStr">
        <is>
          <t>Tribal Housing Activities Loan Guarantee Program (Title VI)</t>
        </is>
      </c>
      <c r="B61" s="59" t="n"/>
      <c r="C61" s="60">
        <f>IFERROR(INDEX('Scope Determinations'!$B$1:$B$400,MATCH($A61,'Scope Determinations'!$A$1:$A$400,0)),"Not found")</f>
        <v/>
      </c>
      <c r="D61" s="59" t="inlineStr">
        <is>
          <t>Same as IHBG</t>
        </is>
      </c>
      <c r="E61" s="59" t="inlineStr">
        <is>
          <t>Low-income ≤80% AMI</t>
        </is>
      </c>
      <c r="F61" s="59" t="inlineStr">
        <is>
          <t>25 U.S.C. 4191 et seq., 4103(9); 24 CFR part 1000, subpart E</t>
        </is>
      </c>
      <c r="G61" s="61" t="inlineStr">
        <is>
          <t>Authorized by NAHASDA; the guarantees finance NAHASDA housing activities, so NAHASDA's income definition applies.</t>
        </is>
      </c>
      <c r="H61" s="61" t="inlineStr">
        <is>
          <t>NAHASDA Title VI (25 U.S.C. 4191 et seq.)</t>
        </is>
      </c>
    </row>
    <row r="62" ht="48" customHeight="1">
      <c r="A62" s="59" t="inlineStr">
        <is>
          <t>Tribal HUD-VASH</t>
        </is>
      </c>
      <c r="B62" s="59" t="n"/>
      <c r="C62" s="60">
        <f>IFERROR(INDEX('Scope Determinations'!$B$1:$B$400,MATCH($A62,'Scope Determinations'!$A$1:$A$400,0)),"Not found")</f>
        <v/>
      </c>
      <c r="D62" s="59" t="inlineStr">
        <is>
          <t>Same as IHBG</t>
        </is>
      </c>
      <c r="E62" s="59" t="inlineStr">
        <is>
          <t>IHBG limits</t>
        </is>
      </c>
      <c r="F62" s="59" t="inlineStr">
        <is>
          <t>25 U.S.C. 4103(9)(C); 24 CFR 1000.10; FY25 Tribal HUD-VASH FAQs Q14–Q15</t>
        </is>
      </c>
      <c r="G62" s="61" t="inlineStr">
        <is>
          <t>Funded through appropriations acts but run under NAHASDA and IHBG requirements rather than Section 8, so NAHASDA's definition applies (HUD's FY25 FAQs).</t>
        </is>
      </c>
      <c r="H62" s="61" t="inlineStr">
        <is>
          <t>Annual appropriations since PL 113-235 (FY2015); NAHASDA (25 U.S.C. 4101 et seq.)</t>
        </is>
      </c>
    </row>
    <row r="63" ht="48" customHeight="1">
      <c r="A63" s="59" t="inlineStr">
        <is>
          <t>Native Hawaiian Housing Block Grant (NHHBG) Program</t>
        </is>
      </c>
      <c r="B63" s="59" t="n"/>
      <c r="C63" s="60">
        <f>IFERROR(INDEX('Scope Determinations'!$B$1:$B$400,MATCH($A63,'Scope Determinations'!$A$1:$A$400,0)),"Not found")</f>
        <v/>
      </c>
      <c r="D63" s="59" t="inlineStr">
        <is>
          <t>DHHL picks Part 5, Census long-form, or IRS AGI; reach of 4103(9) to Title VIII unresolved</t>
        </is>
      </c>
      <c r="E63" s="59" t="inlineStr">
        <is>
          <t>Low-income ≤80% AMI</t>
        </is>
      </c>
      <c r="F63" s="59" t="inlineStr">
        <is>
          <t>25 U.S.C. 4221 et seq.; 24 CFR 1006.10</t>
        </is>
      </c>
      <c r="G63" s="61" t="inlineStr">
        <is>
          <t>Authorized by NAHASDA, but Title VIII has its own definitions section, so whether 4103(9)'s exclusion reaches it is unresolved.</t>
        </is>
      </c>
      <c r="H63" s="61" t="inlineStr">
        <is>
          <t>NAHASDA Title VIII (25 U.S.C. 4221 et seq.)</t>
        </is>
      </c>
    </row>
    <row r="64" ht="48" customHeight="1">
      <c r="A64" s="59" t="inlineStr">
        <is>
          <t>American Rescue Plan Act of 2021</t>
        </is>
      </c>
      <c r="B64" s="59" t="inlineStr">
        <is>
          <t>§11003 IHBG, NHHBG, ICDBG supplements</t>
        </is>
      </c>
      <c r="C64" s="60">
        <f>IFERROR(INDEX('Scope Determinations'!$B$1:$B$400,MATCH($A64,'Scope Determinations'!$A$1:$A$400,0)),"Not found")</f>
        <v/>
      </c>
      <c r="D64" s="59" t="inlineStr">
        <is>
          <t>Underlying program's rule (the ICDBG portion follows group D)</t>
        </is>
      </c>
      <c r="E64" s="59" t="inlineStr">
        <is>
          <t>Underlying program's limits</t>
        </is>
      </c>
      <c r="F64" s="59" t="inlineStr">
        <is>
          <t>PL 117-2 §11003</t>
        </is>
      </c>
      <c r="G64" s="61" t="inlineStr">
        <is>
          <t>ARP added money to existing tribal and Native Hawaiian programs, so each portion follows its underlying program's statute.</t>
        </is>
      </c>
      <c r="H64" s="61" t="inlineStr">
        <is>
          <t>American Rescue Plan Act of 2021 §11003 (PL 117-2)</t>
        </is>
      </c>
    </row>
    <row r="66" ht="21" customHeight="1">
      <c r="A66" s="57" t="inlineStr">
        <is>
          <t>G. Income limit set, but no income definition prescribed  (4 program rows)</t>
        </is>
      </c>
    </row>
    <row r="67" ht="51" customHeight="1">
      <c r="A67" s="58" t="inlineStr">
        <is>
          <t>Where it comes from: a statute, appropriation, or notice sets an income ceiling, but nothing found tells grantees how to measure income, so each NOFO or grantee fills the gap. Lead: 42 U.S.C. 4852 sets the 80% and 50% AMI tests, and NOFOs supply the definition. EPGP: appropriations target 'low-income tenants,' and Policy Guidance 2024-01 lets grantees verify by verbal screening, attestation, or area data. VHRMP: the 2017 notice sets 80% AMI with no definition. Section 3: 1937 Act limits, usually self-certified. VA compensation: depends on each grantee or NOFO and isn't known nationally. VHRMP stands out: it serves low-income veterans with disabilities, yet no source found says how their income is measured.</t>
        </is>
      </c>
    </row>
    <row r="68" ht="48" customHeight="1">
      <c r="A68" s="59" t="inlineStr">
        <is>
          <t>Lead Hazard Control and Healthy Homes Program</t>
        </is>
      </c>
      <c r="B68" s="59" t="inlineStr">
        <is>
          <t>Hazard reduction and healthy homes grants</t>
        </is>
      </c>
      <c r="C68" s="60">
        <f>IFERROR(INDEX('Scope Determinations'!$B$1:$B$400,MATCH($A68,'Scope Determinations'!$A$1:$A$400,0)),"Not found")</f>
        <v/>
      </c>
      <c r="D68" s="59" t="inlineStr">
        <is>
          <t>Set in each NOFO</t>
        </is>
      </c>
      <c r="E68" s="59" t="inlineStr">
        <is>
          <t>Owner-occupied ≤80% AMI; rental: at least half of units ≤50% AMI, rest ≤80%</t>
        </is>
      </c>
      <c r="F68" s="59" t="inlineStr">
        <is>
          <t>42 U.S.C. 4852; annual NOFOs</t>
        </is>
      </c>
      <c r="G68" s="61" t="inlineStr">
        <is>
          <t>The statute sets the 80% and 50% AMI tests but doesn't define income, and there's no grant regulation on it, so each NOFO fills the gap.</t>
        </is>
      </c>
      <c r="H68" s="61" t="inlineStr">
        <is>
          <t>Residential Lead-Based Paint Hazard Reduction Act of 1992 §1011 (42 U.S.C. 4852)</t>
        </is>
      </c>
    </row>
    <row r="69" ht="48" customHeight="1">
      <c r="A69" s="59" t="inlineStr">
        <is>
          <t>Eviction Protection Grant Program (EPGP)</t>
        </is>
      </c>
      <c r="B69" s="59" t="n"/>
      <c r="C69" s="60">
        <f>IFERROR(INDEX('Scope Determinations'!$B$1:$B$400,MATCH($A69,'Scope Determinations'!$A$1:$A$400,0)),"Not found")</f>
        <v/>
      </c>
      <c r="D69" s="59" t="inlineStr">
        <is>
          <t>Not prescribed; grantees verify by screening, attestation, or area data</t>
        </is>
      </c>
      <c r="E69" s="59" t="inlineStr">
        <is>
          <t>'Low-income' as defined in the NOFO</t>
        </is>
      </c>
      <c r="F69" s="59" t="inlineStr">
        <is>
          <t>PL 118-42; EPGP Policy Guidance 2024-01 (June 13, 2024)</t>
        </is>
      </c>
      <c r="G69" s="61" t="inlineStr">
        <is>
          <t>Exists only in appropriations language that targets 'low-income tenants'; no statute or regulation defines income.</t>
        </is>
      </c>
      <c r="H69" s="61" t="inlineStr">
        <is>
          <t>Annual appropriations acts (most recently PL 118-42)</t>
        </is>
      </c>
    </row>
    <row r="70" ht="48" customHeight="1">
      <c r="A70" s="59" t="inlineStr">
        <is>
          <t>Veterans Housing Rehabilitation and Modification Pilot Program (VHRMP)</t>
        </is>
      </c>
      <c r="B70" s="59" t="n"/>
      <c r="C70" s="60">
        <f>IFERROR(INDEX('Scope Determinations'!$B$1:$B$400,MATCH($A70,'Scope Determinations'!$A$1:$A$400,0)),"Not found")</f>
        <v/>
      </c>
      <c r="D70" s="59" t="inlineStr">
        <is>
          <t>Not specified in statute or notice</t>
        </is>
      </c>
      <c r="E70" s="59" t="inlineStr">
        <is>
          <t>≤80% AMI</t>
        </is>
      </c>
      <c r="F70" s="59" t="inlineStr">
        <is>
          <t>NDAA FY2015 §1079 (PL 113-291); FR Doc. 2017-14630</t>
        </is>
      </c>
      <c r="G70" s="61" t="inlineStr">
        <is>
          <t>The authorizing statute targets low-income veterans with disabilities but doesn't define income; HUD's 2017 notice set the 80% AMI limit only.</t>
        </is>
      </c>
      <c r="H70" s="61" t="inlineStr">
        <is>
          <t>National Defense Authorization Act for FY2015 §1079 (PL 113-291)</t>
        </is>
      </c>
    </row>
    <row r="71" ht="63" customHeight="1">
      <c r="A71" s="59" t="inlineStr">
        <is>
          <t>Economic Opportunities for Low- and Very-Low Income Persons (Section 3)</t>
        </is>
      </c>
      <c r="B71" s="59" t="inlineStr">
        <is>
          <t>Hiring preference</t>
        </is>
      </c>
      <c r="C71" s="60">
        <f>IFERROR(INDEX('Scope Determinations'!$B$1:$B$400,MATCH($A71,'Scope Determinations'!$A$1:$A$400,0)),"Not found")</f>
        <v/>
      </c>
      <c r="D71" s="59" t="inlineStr">
        <is>
          <t>Not prescribed; self-certification allowed</t>
        </is>
      </c>
      <c r="E71" s="59" t="inlineStr">
        <is>
          <t>Low- or very low-income under 1937 Act limits</t>
        </is>
      </c>
      <c r="F71" s="59" t="inlineStr">
        <is>
          <t>12 U.S.C. 1701u; 24 CFR 75.5, 75.31(b)</t>
        </is>
      </c>
      <c r="G71" s="61" t="inlineStr">
        <is>
          <t>The statute targets low- and very low-income persons using 1937 Act limits, but it's a hiring preference, and HUD's rule lets workers self-certify without a definition of income.</t>
        </is>
      </c>
      <c r="H71" s="61" t="inlineStr">
        <is>
          <t>Housing and Urban Development Act of 1968 §3 (12 U.S.C. 1701u)</t>
        </is>
      </c>
    </row>
    <row r="73" ht="21" customHeight="1">
      <c r="A73" s="57" t="inlineStr">
        <is>
          <t>H. Tax-code standard (IRC §42)  (1 program row)</t>
        </is>
      </c>
    </row>
    <row r="74" ht="36" customHeight="1">
      <c r="A74" s="58" t="inlineStr">
        <is>
          <t>Where it comes from: the HUD statute (12 U.S.C. 1715z-22) and rule (24 CFR 266.5) borrow the low-income housing tax credit test in IRC §42(g), so tenant income is determined under Treasury rules, not HUD's. IRC §142(d)(2)(B) requires Treasury to determine income 'in a manner consistent with' Section 8 determinations, so these determinations track group A; Rev. Proc. 2024-38 adopts the HUD-VASH exclusion for tax-credit purposes. VA compensation: counted, except for HUD-VASH tenants.</t>
        </is>
      </c>
    </row>
    <row r="75" ht="48" customHeight="1">
      <c r="A75" s="59" t="inlineStr">
        <is>
          <t>Multifamily Mortgage Risk-Sharing Programs (Sections 542(b) and 542(c))</t>
        </is>
      </c>
      <c r="B75" s="59" t="n"/>
      <c r="C75" s="60">
        <f>IFERROR(INDEX('Scope Determinations'!$B$1:$B$400,MATCH($A75,'Scope Determinations'!$A$1:$A$400,0)),"Not found")</f>
        <v/>
      </c>
      <c r="D75" s="59" t="inlineStr">
        <is>
          <t>IRC §42 rules (Treasury), which must track Section 8 determinations</t>
        </is>
      </c>
      <c r="E75" s="59" t="inlineStr">
        <is>
          <t>20% of units ≤50% AMI or 40% ≤60% AMI (IRC §42(g)(1))</t>
        </is>
      </c>
      <c r="F75" s="59" t="inlineStr">
        <is>
          <t>12 U.S.C. 1715z-22(b)(9), (c)(7); 24 CFR 266.5; 26 U.S.C. 42(g), 142(d)(2)(B)</t>
        </is>
      </c>
      <c r="G75" s="61" t="inlineStr">
        <is>
          <t>The statute borrows the tax credit affordability test of IRC §42(g), so tenant income follows Treasury rules.</t>
        </is>
      </c>
      <c r="H75" s="61" t="inlineStr">
        <is>
          <t>HCDA 1992 §542 (12 U.S.C. 1715z-22)</t>
        </is>
      </c>
    </row>
    <row r="77" ht="21" customHeight="1">
      <c r="A77" s="57" t="inlineStr">
        <is>
          <t>I. No HUD standard: undefined, applied by a third party, or not located  (4 program rows)</t>
        </is>
      </c>
    </row>
    <row r="78" ht="36" customHeight="1">
      <c r="A78" s="58" t="inlineStr">
        <is>
          <t>Where it comes from: there is no HUD income definition. HUD hands property to an organization that applies the limit (204(g) sales to nonprofits and governments carry a 115% AMI resale limit and a 50% AMI homeless-lease limit under 24 CFR part 291), or relies on a statute that says 'low-income' without defining it (40 U.S.C. 550(f)), or the rule wasn't located (Dollar Homes, Main Street). VA compensation: no HUD treatment to report unless HUD sets one through agreements. Check the Main Street NOFO before settling it here.</t>
        </is>
      </c>
    </row>
    <row r="79" ht="63" customHeight="1">
      <c r="A79" s="59" t="inlineStr">
        <is>
          <t>Single Family Property Disposition Program (Section 204(g))</t>
        </is>
      </c>
      <c r="B79" s="59" t="inlineStr">
        <is>
          <t>Nonprofit and government sales</t>
        </is>
      </c>
      <c r="C79" s="60">
        <f>IFERROR(INDEX('Scope Determinations'!$B$1:$B$400,MATCH($A79,'Scope Determinations'!$A$1:$A$400,0)),"Not found")</f>
        <v/>
      </c>
      <c r="D79" s="59" t="inlineStr">
        <is>
          <t>Not defined; the buying organization applies the limits</t>
        </is>
      </c>
      <c r="E79" s="59" t="inlineStr">
        <is>
          <t>Resale to owner-occupants ≤115% AMI; homeless leases ≤50% AMI</t>
        </is>
      </c>
      <c r="F79" s="59" t="inlineStr">
        <is>
          <t>24 CFR 291.100(d)(2), 291.405, 291.415(e)(1)</t>
        </is>
      </c>
      <c r="G79" s="61" t="inlineStr">
        <is>
          <t>The statute authorizes property sales and says nothing about income; income limits appear only in HUD's rules for sales through nonprofits and governments, which those buyers apply.</t>
        </is>
      </c>
      <c r="H79" s="61" t="inlineStr">
        <is>
          <t>National Housing Act §204(g) (12 U.S.C. 1710(g))</t>
        </is>
      </c>
    </row>
    <row r="80" ht="48" customHeight="1">
      <c r="A80" s="59" t="inlineStr">
        <is>
          <t>Dollar Home Sales</t>
        </is>
      </c>
      <c r="B80" s="59" t="n"/>
      <c r="C80" s="60">
        <f>IFERROR(INDEX('Scope Determinations'!$B$1:$B$400,MATCH($A80,'Scope Determinations'!$A$1:$A$400,0)),"Not found")</f>
        <v/>
      </c>
      <c r="D80" s="59" t="inlineStr">
        <is>
          <t>Not checked</t>
        </is>
      </c>
      <c r="E80" s="59" t="inlineStr">
        <is>
          <t>Aimed at low- to moderate-income families (FPI objective)</t>
        </is>
      </c>
      <c r="F80" s="59" t="inlineStr">
        <is>
          <t>AL 14.313; 24 CFR part 291</t>
        </is>
      </c>
      <c r="G80" s="61" t="inlineStr">
        <is>
          <t>A HUD sales policy under its property-disposition authority; any income limit is applied by the government buyer.</t>
        </is>
      </c>
      <c r="H80" s="61" t="inlineStr">
        <is>
          <t>National Housing Act §204(g) (12 U.S.C. 1710(g))</t>
        </is>
      </c>
    </row>
    <row r="81" ht="48" customHeight="1">
      <c r="A81" s="59" t="inlineStr">
        <is>
          <t>Self-Help Housing Property Disposition Program</t>
        </is>
      </c>
      <c r="B81" s="59" t="n"/>
      <c r="C81" s="60">
        <f>IFERROR(INDEX('Scope Determinations'!$B$1:$B$400,MATCH($A81,'Scope Determinations'!$A$1:$A$400,0)),"Not found")</f>
        <v/>
      </c>
      <c r="D81" s="59" t="inlineStr">
        <is>
          <t>None ('low-income' undefined)</t>
        </is>
      </c>
      <c r="E81" s="59" t="inlineStr">
        <is>
          <t>None specified</t>
        </is>
      </c>
      <c r="F81" s="59" t="inlineStr">
        <is>
          <t>40 U.S.C. 550(f)</t>
        </is>
      </c>
      <c r="G81" s="61" t="inlineStr">
        <is>
          <t>The statute targets 'low-income individuals or families' without defining the term, and there's no implementing regulation.</t>
        </is>
      </c>
      <c r="H81" s="61" t="inlineStr">
        <is>
          <t>40 U.S.C. 550(f)</t>
        </is>
      </c>
    </row>
    <row r="82" ht="48" customHeight="1">
      <c r="A82" s="59" t="inlineStr">
        <is>
          <t>Affordable Housing Development in Main Street Rejuvenation Projects</t>
        </is>
      </c>
      <c r="B82" s="59" t="n"/>
      <c r="C82" s="60">
        <f>IFERROR(INDEX('Scope Determinations'!$B$1:$B$400,MATCH($A82,'Scope Determinations'!$A$1:$A$400,0)),"Not found")</f>
        <v/>
      </c>
      <c r="D82" s="59" t="inlineStr">
        <is>
          <t>Not located</t>
        </is>
      </c>
      <c r="E82" s="59" t="inlineStr">
        <is>
          <t>Not located</t>
        </is>
      </c>
      <c r="F82" s="59" t="inlineStr">
        <is>
          <t>AL 14.878; 42 U.S.C. 1437v; check the NOFO</t>
        </is>
      </c>
      <c r="G82" s="61" t="inlineStr">
        <is>
          <t>Authorized under the 1937 Act's HOPE VI section, but whether the Act's income definition or a NOFO rule governs Main Street units wasn't determined.</t>
        </is>
      </c>
      <c r="H82" s="61" t="inlineStr">
        <is>
          <t>1937 Act §24 (42 U.S.C. 1437v)</t>
        </is>
      </c>
    </row>
  </sheetData>
  <mergeCells count="19">
    <mergeCell ref="A67:H67"/>
    <mergeCell ref="A77:H77"/>
    <mergeCell ref="A39:H39"/>
    <mergeCell ref="A59:H59"/>
    <mergeCell ref="A73:H73"/>
    <mergeCell ref="A78:H78"/>
    <mergeCell ref="A66:H66"/>
    <mergeCell ref="A74:H74"/>
    <mergeCell ref="A18:H18"/>
    <mergeCell ref="A3:H3"/>
    <mergeCell ref="A2:H2"/>
    <mergeCell ref="A23:H23"/>
    <mergeCell ref="A22:H22"/>
    <mergeCell ref="A4:H4"/>
    <mergeCell ref="A53:H53"/>
    <mergeCell ref="A38:H38"/>
    <mergeCell ref="A52:H52"/>
    <mergeCell ref="A19:H19"/>
    <mergeCell ref="A58:H58"/>
  </mergeCells>
  <conditionalFormatting sqref="C3:C82">
    <cfRule type="cellIs" priority="1" operator="equal" dxfId="4">
      <formula>"Include"</formula>
    </cfRule>
    <cfRule type="cellIs" priority="2" operator="equal" dxfId="5">
      <formula>"Unclear"</formula>
    </cfRule>
    <cfRule type="expression" priority="3" dxfId="6">
      <formula>OR(C3="Exclude",C3="Not found")</formula>
    </cfRule>
  </conditionalFormatting>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sheetPr>
  <dimension ref="A1:G11"/>
  <sheetViews>
    <sheetView tabSelected="0" zoomScaleNormal="100" workbookViewId="0">
      <selection activeCell="A1" sqref="A1"/>
    </sheetView>
  </sheetViews>
  <sheetFormatPr baseColWidth="8" defaultColWidth="8.6640625" defaultRowHeight="14.4"/>
  <cols>
    <col width="45" customWidth="1" min="1" max="5"/>
    <col width="20" customWidth="1" min="6" max="6"/>
    <col width="48" customWidth="1" min="7" max="7"/>
  </cols>
  <sheetData>
    <row r="1" ht="15" customHeight="1">
      <c r="A1" s="15" t="inlineStr">
        <is>
          <t>Income Test Type</t>
        </is>
      </c>
      <c r="B1" s="15" t="inlineStr">
        <is>
          <t>Statutory Family</t>
        </is>
      </c>
      <c r="C1" s="15" t="inlineStr">
        <is>
          <t>Mandatory or Grantee Choice</t>
        </is>
      </c>
      <c r="D1" s="15" t="inlineStr">
        <is>
          <t>VA Treatment</t>
        </is>
      </c>
      <c r="E1" s="15" t="inlineStr">
        <is>
          <t>Verification Status</t>
        </is>
      </c>
      <c r="F1" s="15" t="inlineStr">
        <is>
          <t>Scope Determination</t>
        </is>
      </c>
      <c r="G1" s="15" t="inlineStr">
        <is>
          <t>Scope Basis</t>
        </is>
      </c>
    </row>
    <row r="2" ht="15" customHeight="1">
      <c r="A2" t="inlineStr">
        <is>
          <t>Household income test</t>
        </is>
      </c>
      <c r="B2" t="inlineStr">
        <is>
          <t>U.S. Housing Act of 1937 (public housing &amp; Section 8)</t>
        </is>
      </c>
      <c r="C2" t="inlineStr">
        <is>
          <t>Mandatory</t>
        </is>
      </c>
      <c r="D2" t="inlineStr">
        <is>
          <t>Counted</t>
        </is>
      </c>
      <c r="E2" t="inlineStr">
        <is>
          <t>Verified — primary source</t>
        </is>
      </c>
      <c r="F2" t="inlineStr">
        <is>
          <t>Include</t>
        </is>
      </c>
      <c r="G2" t="inlineStr">
        <is>
          <t>I – Household income eligibility test</t>
        </is>
      </c>
    </row>
    <row r="3" ht="15" customHeight="1">
      <c r="A3" t="inlineStr">
        <is>
          <t>Via underlying program</t>
        </is>
      </c>
      <c r="B3" t="inlineStr">
        <is>
          <t>Sec. 202 / Sec. 811 (elderly &amp; disabled housing)</t>
        </is>
      </c>
      <c r="C3" t="inlineStr">
        <is>
          <t>Grantee menu</t>
        </is>
      </c>
      <c r="D3" t="inlineStr">
        <is>
          <t>Excluded</t>
        </is>
      </c>
      <c r="E3" t="inlineStr">
        <is>
          <t>Partly verified</t>
        </is>
      </c>
      <c r="F3" t="inlineStr">
        <is>
          <t>Exclude</t>
        </is>
      </c>
      <c r="G3" t="inlineStr">
        <is>
          <t>X1 – No assistance to households</t>
        </is>
      </c>
    </row>
    <row r="4" ht="15" customHeight="1">
      <c r="A4" t="inlineStr">
        <is>
          <t>Underwriting only</t>
        </is>
      </c>
      <c r="B4" t="inlineStr">
        <is>
          <t>HCDA Title I (CDBG family)</t>
        </is>
      </c>
      <c r="C4" t="inlineStr">
        <is>
          <t>N/A</t>
        </is>
      </c>
      <c r="D4" t="inlineStr">
        <is>
          <t>Varies (grantee/agency choice)</t>
        </is>
      </c>
      <c r="E4" t="inlineStr">
        <is>
          <t>Not verified — needs check</t>
        </is>
      </c>
      <c r="F4" t="inlineStr">
        <is>
          <t>Unclear</t>
        </is>
      </c>
      <c r="G4" t="inlineStr">
        <is>
          <t>X2 – Regulatory or civil-rights requirement</t>
        </is>
      </c>
    </row>
    <row r="5" ht="15" customHeight="1">
      <c r="A5" t="inlineStr">
        <is>
          <t>Not income-tested</t>
        </is>
      </c>
      <c r="B5" t="inlineStr">
        <is>
          <t>HOME / Housing Trust Fund</t>
        </is>
      </c>
      <c r="D5" t="inlineStr">
        <is>
          <t>Not applicable</t>
        </is>
      </c>
      <c r="E5" t="inlineStr">
        <is>
          <t>Not verified — low risk (not income-tested)</t>
        </is>
      </c>
      <c r="G5" t="inlineStr">
        <is>
          <t>X3 – No income ceiling</t>
        </is>
      </c>
    </row>
    <row r="6" ht="15" customHeight="1">
      <c r="A6" t="inlineStr">
        <is>
          <t>Varies by component</t>
        </is>
      </c>
      <c r="B6" t="inlineStr">
        <is>
          <t>McKinney-Vento / AIDS Housing Opportunity Act</t>
        </is>
      </c>
      <c r="D6" t="inlineStr">
        <is>
          <t>Unclear / needs check</t>
        </is>
      </c>
      <c r="G6" t="inlineStr">
        <is>
          <t>X4 – Already income-qualified under a listed program</t>
        </is>
      </c>
    </row>
    <row r="7" ht="15" customHeight="1">
      <c r="B7" t="inlineStr">
        <is>
          <t>NAHASDA &amp; Native housing</t>
        </is>
      </c>
      <c r="G7" t="inlineStr">
        <is>
          <t>X5 – Runs through another listed program</t>
        </is>
      </c>
    </row>
    <row r="8" ht="15" customHeight="1">
      <c r="B8" t="inlineStr">
        <is>
          <t>National Housing Act (FHA &amp; mortgage insurance)</t>
        </is>
      </c>
      <c r="G8" t="inlineStr">
        <is>
          <t>U1 – Income sets payments only</t>
        </is>
      </c>
    </row>
    <row r="9" ht="15" customHeight="1">
      <c r="B9" t="inlineStr">
        <is>
          <t>Other statutes &amp; appropriations</t>
        </is>
      </c>
      <c r="G9" t="inlineStr">
        <is>
          <t>U2 – Indirect income targeting</t>
        </is>
      </c>
    </row>
    <row r="10">
      <c r="G10" t="inlineStr">
        <is>
          <t>U3 – Legacy or closed-out</t>
        </is>
      </c>
    </row>
    <row r="11">
      <c r="G11" t="inlineStr">
        <is>
          <t>U4 – Income test not yet confirmed</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2026-05-19T14:42:56Z</dcterms:created>
  <dcterms:modified xmlns:dcterms="http://purl.org/dc/terms/" xmlns:xsi="http://www.w3.org/2001/XMLSchema-instance" xsi:type="dcterms:W3CDTF">2026-10-02T14:06:35Z</dcterms:modified>
  <cp:lastModifiedBy>Mark Lipsey</cp:lastModifiedBy>
  <cp:revision>0</cp:revision>
</cp:coreProperties>
</file>